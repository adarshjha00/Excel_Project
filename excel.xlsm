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7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1.xml" ContentType="application/vnd.openxmlformats-officedocument.spreadsheetml.pivotTable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bookViews>
    <workbookView xWindow="0" yWindow="0" windowWidth="19200" windowHeight="7310" firstSheet="4" activeTab="11"/>
  </bookViews>
  <sheets>
    <sheet name="Sheet1" sheetId="1" r:id="rId1"/>
    <sheet name="Sheet3" sheetId="4" r:id="rId2"/>
    <sheet name="Sheet4" sheetId="5" r:id="rId3"/>
    <sheet name="Sheet5" sheetId="6" r:id="rId4"/>
    <sheet name="Sheet6" sheetId="7" r:id="rId5"/>
    <sheet name="Sheet7" sheetId="8" r:id="rId6"/>
    <sheet name="Sheet8" sheetId="9" r:id="rId7"/>
    <sheet name="Sheet9" sheetId="10" r:id="rId8"/>
    <sheet name="Sheet2" sheetId="11" r:id="rId9"/>
    <sheet name="Sheet10" sheetId="12" r:id="rId10"/>
    <sheet name="Sheet11" sheetId="13" r:id="rId11"/>
    <sheet name="in" sheetId="3" r:id="rId12"/>
  </sheets>
  <calcPr calcId="152511"/>
  <pivotCaches>
    <pivotCache cacheId="4" r:id="rId13"/>
  </pivotCaches>
</workbook>
</file>

<file path=xl/calcChain.xml><?xml version="1.0" encoding="utf-8"?>
<calcChain xmlns="http://schemas.openxmlformats.org/spreadsheetml/2006/main">
  <c r="I101" i="3" l="1"/>
  <c r="F101" i="3"/>
</calcChain>
</file>

<file path=xl/sharedStrings.xml><?xml version="1.0" encoding="utf-8"?>
<sst xmlns="http://schemas.openxmlformats.org/spreadsheetml/2006/main" count="480" uniqueCount="37">
  <si>
    <t>ORDER ID</t>
  </si>
  <si>
    <t>ORDER DATE</t>
  </si>
  <si>
    <t>REGION</t>
  </si>
  <si>
    <t>PRODUCT</t>
  </si>
  <si>
    <t>CATEGORY</t>
  </si>
  <si>
    <t>SALES</t>
  </si>
  <si>
    <t>QUANTITY</t>
  </si>
  <si>
    <t>DISCOUNT</t>
  </si>
  <si>
    <t>PROFIT</t>
  </si>
  <si>
    <t>CUSTOMER TYPE</t>
  </si>
  <si>
    <t>East</t>
  </si>
  <si>
    <t>Laptop</t>
  </si>
  <si>
    <t>Accessories</t>
  </si>
  <si>
    <t>B2C</t>
  </si>
  <si>
    <t>West</t>
  </si>
  <si>
    <t>Printer</t>
  </si>
  <si>
    <t>Electronics</t>
  </si>
  <si>
    <t>North</t>
  </si>
  <si>
    <t>Monitor</t>
  </si>
  <si>
    <t>Smartphone</t>
  </si>
  <si>
    <t>South</t>
  </si>
  <si>
    <t>Tablet</t>
  </si>
  <si>
    <t>Row Labels</t>
  </si>
  <si>
    <t>Grand Total</t>
  </si>
  <si>
    <t>Sum of SALES</t>
  </si>
  <si>
    <t>SALE</t>
  </si>
  <si>
    <t>Sum of PROFIT</t>
  </si>
  <si>
    <t>PROFITS</t>
  </si>
  <si>
    <t>Jan</t>
  </si>
  <si>
    <t>Feb</t>
  </si>
  <si>
    <t>Mar</t>
  </si>
  <si>
    <t>Apr</t>
  </si>
  <si>
    <t>DATE</t>
  </si>
  <si>
    <t>TOTAL SALE</t>
  </si>
  <si>
    <t>L PROFIT</t>
  </si>
  <si>
    <t>TOTAL PROFIT</t>
  </si>
  <si>
    <t>REGIONAL -  SALE(2023)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</si>
</sst>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\-mmm\-yy"/>
    <numFmt numFmtId="165" formatCode="[$₹-439]#,##0.00"/>
    <numFmt numFmtId="166" formatCode="[$$-409]#,##0.0"/>
    <numFmt numFmtId="167" formatCode="m/d/yyyy"/>
    <numFmt numFmtId="168" formatCode="yyyy\-mm\-dd;@"/>
  </numFmts>
  <fonts count="26" x14ac:knownFonts="1"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indexed="8"/>
      <name val="Calibri"/>
      <family val="2"/>
    </font>
    <font>
      <b/>
      <strike/>
      <sz val="11"/>
      <color indexed="8"/>
      <name val="Calibri"/>
      <family val="2"/>
    </font>
    <font>
      <strike/>
      <sz val="11"/>
      <color indexed="8"/>
      <name val="Calibri"/>
      <family val="2"/>
    </font>
    <font>
      <b/>
      <strike/>
      <sz val="12"/>
      <color indexed="9"/>
      <name val="Bahnschrift SemiLight"/>
      <family val="2"/>
    </font>
    <font>
      <b/>
      <u/>
      <sz val="20"/>
      <color indexed="8"/>
      <name val="Algerian"/>
      <family val="5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9BC2E6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rgb="FF00B050"/>
        <bgColor theme="4" tint="0.79998168889431442"/>
      </patternFill>
    </fill>
    <fill>
      <patternFill patternType="solid">
        <fgColor rgb="FF0070C0"/>
        <bgColor theme="4" tint="0.79998168889431442"/>
      </patternFill>
    </fill>
    <fill>
      <patternFill patternType="solid">
        <fgColor rgb="FF92D050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4472C4"/>
      </top>
      <bottom style="double">
        <color rgb="FF4472C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5" tint="0.79998168889431442"/>
      </bottom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/>
      <right/>
      <top style="thin">
        <color theme="5" tint="0.79998168889431442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</cellStyleXfs>
  <cellXfs count="47">
    <xf numFmtId="0" fontId="0" fillId="0" borderId="0" xfId="0"/>
    <xf numFmtId="167" fontId="0" fillId="0" borderId="0" xfId="0" applyNumberFormat="1"/>
    <xf numFmtId="0" fontId="0" fillId="0" borderId="12" xfId="0" applyFill="1" applyBorder="1"/>
    <xf numFmtId="164" fontId="0" fillId="0" borderId="12" xfId="0" applyNumberFormat="1" applyFill="1" applyBorder="1" applyAlignment="1">
      <alignment horizontal="center" vertical="center"/>
    </xf>
    <xf numFmtId="165" fontId="0" fillId="0" borderId="12" xfId="0" applyNumberFormat="1" applyFill="1" applyBorder="1"/>
    <xf numFmtId="4" fontId="0" fillId="0" borderId="12" xfId="0" applyNumberFormat="1" applyFill="1" applyBorder="1"/>
    <xf numFmtId="166" fontId="0" fillId="0" borderId="12" xfId="0" applyNumberFormat="1" applyFill="1" applyBorder="1"/>
    <xf numFmtId="0" fontId="0" fillId="0" borderId="0" xfId="0" applyFill="1"/>
    <xf numFmtId="165" fontId="0" fillId="0" borderId="13" xfId="0" applyNumberFormat="1" applyFill="1" applyBorder="1"/>
    <xf numFmtId="0" fontId="0" fillId="0" borderId="13" xfId="0" applyFill="1" applyBorder="1"/>
    <xf numFmtId="164" fontId="0" fillId="0" borderId="13" xfId="0" applyNumberFormat="1" applyFill="1" applyBorder="1" applyAlignment="1">
      <alignment horizontal="center" vertical="center"/>
    </xf>
    <xf numFmtId="0" fontId="0" fillId="0" borderId="10" xfId="0" applyFill="1" applyBorder="1"/>
    <xf numFmtId="0" fontId="0" fillId="0" borderId="14" xfId="0" applyFill="1" applyBorder="1"/>
    <xf numFmtId="4" fontId="0" fillId="0" borderId="13" xfId="0" applyNumberFormat="1" applyFill="1" applyBorder="1"/>
    <xf numFmtId="166" fontId="0" fillId="0" borderId="13" xfId="0" applyNumberFormat="1" applyFill="1" applyBorder="1"/>
    <xf numFmtId="0" fontId="0" fillId="0" borderId="15" xfId="0" applyFill="1" applyBorder="1" applyAlignment="1" applyProtection="1"/>
    <xf numFmtId="164" fontId="0" fillId="0" borderId="15" xfId="0" applyNumberFormat="1" applyFill="1" applyBorder="1" applyAlignment="1" applyProtection="1">
      <alignment horizontal="center" vertical="center"/>
    </xf>
    <xf numFmtId="165" fontId="18" fillId="0" borderId="16" xfId="0" applyNumberFormat="1" applyFont="1" applyFill="1" applyBorder="1"/>
    <xf numFmtId="0" fontId="0" fillId="0" borderId="17" xfId="0" applyFill="1" applyBorder="1" applyAlignment="1" applyProtection="1"/>
    <xf numFmtId="4" fontId="0" fillId="0" borderId="15" xfId="0" applyNumberFormat="1" applyFill="1" applyBorder="1" applyAlignment="1" applyProtection="1"/>
    <xf numFmtId="166" fontId="18" fillId="0" borderId="15" xfId="17" applyNumberFormat="1" applyFont="1" applyFill="1" applyBorder="1" applyAlignment="1"/>
    <xf numFmtId="0" fontId="0" fillId="0" borderId="12" xfId="0" applyFill="1" applyBorder="1" applyAlignment="1" applyProtection="1">
      <alignment horizontal="left"/>
    </xf>
    <xf numFmtId="0" fontId="19" fillId="0" borderId="0" xfId="0" applyFont="1"/>
    <xf numFmtId="0" fontId="0" fillId="0" borderId="15" xfId="0" applyFill="1" applyBorder="1" applyAlignment="1">
      <alignment horizontal="left"/>
    </xf>
    <xf numFmtId="0" fontId="0" fillId="0" borderId="10" xfId="0" applyFill="1" applyBorder="1" applyAlignment="1">
      <alignment horizontal="left"/>
    </xf>
    <xf numFmtId="0" fontId="20" fillId="34" borderId="16" xfId="0" applyFont="1" applyFill="1" applyBorder="1" applyAlignment="1">
      <alignment horizontal="left" vertical="center"/>
    </xf>
    <xf numFmtId="168" fontId="20" fillId="34" borderId="16" xfId="0" applyNumberFormat="1" applyFont="1" applyFill="1" applyBorder="1" applyAlignment="1">
      <alignment horizontal="left" vertical="center"/>
    </xf>
    <xf numFmtId="0" fontId="20" fillId="34" borderId="18" xfId="0" applyFont="1" applyFill="1" applyBorder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4" fillId="35" borderId="20" xfId="0" applyFont="1" applyFill="1" applyBorder="1"/>
    <xf numFmtId="0" fontId="22" fillId="0" borderId="21" xfId="0" applyFont="1" applyBorder="1" applyAlignment="1">
      <alignment horizontal="left"/>
    </xf>
    <xf numFmtId="0" fontId="22" fillId="0" borderId="21" xfId="0" applyNumberFormat="1" applyFont="1" applyBorder="1"/>
    <xf numFmtId="0" fontId="22" fillId="0" borderId="22" xfId="0" applyFont="1" applyBorder="1" applyAlignment="1">
      <alignment horizontal="left"/>
    </xf>
    <xf numFmtId="0" fontId="22" fillId="0" borderId="22" xfId="0" applyNumberFormat="1" applyFont="1" applyBorder="1"/>
    <xf numFmtId="0" fontId="0" fillId="0" borderId="0" xfId="0" applyAlignment="1">
      <alignment horizontal="left" indent="1"/>
    </xf>
    <xf numFmtId="0" fontId="23" fillId="0" borderId="19" xfId="0" applyFont="1" applyBorder="1" applyAlignment="1">
      <alignment horizontal="left"/>
    </xf>
    <xf numFmtId="0" fontId="23" fillId="0" borderId="19" xfId="0" applyNumberFormat="1" applyFont="1" applyBorder="1"/>
    <xf numFmtId="4" fontId="0" fillId="0" borderId="0" xfId="0" applyNumberFormat="1" applyAlignment="1">
      <alignment horizontal="left"/>
    </xf>
    <xf numFmtId="0" fontId="0" fillId="0" borderId="0" xfId="0" applyBorder="1"/>
    <xf numFmtId="0" fontId="21" fillId="33" borderId="11" xfId="0" applyFont="1" applyFill="1" applyBorder="1" applyAlignment="1">
      <alignment horizontal="center" vertical="center"/>
    </xf>
    <xf numFmtId="165" fontId="0" fillId="0" borderId="0" xfId="0" applyNumberFormat="1" applyAlignment="1">
      <alignment horizontal="left"/>
    </xf>
    <xf numFmtId="0" fontId="23" fillId="36" borderId="19" xfId="0" applyFont="1" applyFill="1" applyBorder="1"/>
    <xf numFmtId="0" fontId="23" fillId="37" borderId="19" xfId="0" applyFont="1" applyFill="1" applyBorder="1"/>
    <xf numFmtId="0" fontId="25" fillId="38" borderId="0" xfId="0" applyFont="1" applyFill="1" applyBorder="1"/>
    <xf numFmtId="0" fontId="0" fillId="39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 customBuiltin="1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9">
    <dxf>
      <fill>
        <patternFill patternType="solid">
          <bgColor rgb="FF92D05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rgb="FF00B050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theme="4" tint="0.79998168889431442"/>
          <bgColor theme="4" tint="0.59999389629810485"/>
        </patternFill>
      </fill>
    </dxf>
    <dxf>
      <border outline="0">
        <bottom style="thin">
          <color theme="4" tint="0.39997558519241921"/>
        </bottom>
      </border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font>
        <i val="0"/>
        <condense val="0"/>
        <extend val="0"/>
        <color rgb="FFFFFFFF"/>
      </font>
      <fill>
        <patternFill patternType="solid">
          <fgColor rgb="FF8EA9DB"/>
          <bgColor rgb="FF8EA9DB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border diagonalUp="0" diagonalDown="0">
        <left/>
        <right/>
        <top style="thin">
          <color theme="5" tint="0.79998168889431442"/>
        </top>
        <bottom style="thin">
          <color theme="5" tint="0.7999816888943144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5" tint="0.79998168889431442"/>
        </top>
        <bottom style="thin">
          <color theme="5" tint="0.79998168889431442"/>
        </bottom>
        <vertical/>
        <horizontal/>
      </border>
    </dxf>
    <dxf>
      <border outline="0">
        <top style="thin">
          <color theme="5" tint="0.79998168889431442"/>
        </top>
      </border>
    </dxf>
    <dxf>
      <border outline="0">
        <bottom style="thin">
          <color theme="5" tint="0.79998168889431442"/>
        </bottom>
      </border>
    </dxf>
    <dxf>
      <border outline="0">
        <bottom style="thin">
          <color theme="5" tint="0.7999816888943144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5" tint="-0.249977111117893"/>
          <bgColor theme="5" tint="-0.249977111117893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166" formatCode="[$$-409]#,##0.0"/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5" formatCode="[$₹-439]#,##0.00"/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/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numFmt numFmtId="164" formatCode="d\-mmm\-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right style="thin">
          <color rgb="FF000000"/>
        </right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/>
        <condense val="0"/>
        <extend val="0"/>
        <outline val="0"/>
        <shadow val="0"/>
        <u val="none"/>
        <vertAlign val="baseline"/>
        <sz val="12"/>
        <color indexed="9"/>
        <name val="Bahnschrift SemiLight"/>
        <scheme val="none"/>
      </font>
      <fill>
        <patternFill patternType="solid">
          <fgColor indexed="64"/>
          <bgColor rgb="FF595959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[adarsh.xlsm]Sheet3!PivotTable1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>
                <a:latin typeface="Algerian" panose="04020705040A02060702" pitchFamily="82" charset="0"/>
              </a:rPr>
              <a:t>TOP SALE REGION</a:t>
            </a:r>
          </a:p>
        </c:rich>
      </c:tx>
      <c:layout>
        <c:manualLayout>
          <c:xMode val="edge"/>
          <c:yMode val="edge"/>
          <c:x val="0.33634011373578304"/>
          <c:y val="2.6757072032662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flip="none" rotWithShape="1"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  <c:pivotFmt>
        <c:idx val="2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</c:pivotFmt>
    </c:pivotFmts>
    <c:view3D>
      <c:rotX val="10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846981627296587"/>
          <c:y val="0.15627114319043453"/>
          <c:w val="0.74845603674540684"/>
          <c:h val="0.58920202682997957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Sheet3!$A$4:$A$8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Sheet3!$B$4:$B$8</c:f>
              <c:numCache>
                <c:formatCode>General</c:formatCode>
                <c:ptCount val="4"/>
                <c:pt idx="0">
                  <c:v>35157.760000000002</c:v>
                </c:pt>
                <c:pt idx="1">
                  <c:v>27524.759999999991</c:v>
                </c:pt>
                <c:pt idx="2">
                  <c:v>24517.069999999996</c:v>
                </c:pt>
                <c:pt idx="3">
                  <c:v>21315.670000000002</c:v>
                </c:pt>
              </c:numCache>
            </c:numRef>
          </c:val>
          <c:shape val="cylinder"/>
          <c:extLst xmlns:c16r2="http://schemas.microsoft.com/office/drawing/2015/06/chart">
            <c:ext xmlns:c16="http://schemas.microsoft.com/office/drawing/2014/chart" uri="{C3380CC4-5D6E-409C-BE32-E72D297353CC}">
              <c16:uniqueId val="{00000000-B9F4-44F8-9AA6-32179C25D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0"/>
        <c:gapDepth val="31"/>
        <c:shape val="box"/>
        <c:axId val="398579488"/>
        <c:axId val="398586544"/>
        <c:axId val="0"/>
      </c:bar3DChart>
      <c:catAx>
        <c:axId val="39857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398586544"/>
        <c:crosses val="autoZero"/>
        <c:auto val="1"/>
        <c:lblAlgn val="ctr"/>
        <c:lblOffset val="100"/>
        <c:noMultiLvlLbl val="0"/>
      </c:catAx>
      <c:valAx>
        <c:axId val="39858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lgerian" panose="04020705040A02060702" pitchFamily="82" charset="0"/>
                    <a:ea typeface="+mn-ea"/>
                    <a:cs typeface="+mn-cs"/>
                  </a:defRPr>
                </a:pPr>
                <a:r>
                  <a:rPr lang="en-IN" sz="1100" b="1">
                    <a:latin typeface="Algerian" panose="04020705040A02060702" pitchFamily="82" charset="0"/>
                  </a:rPr>
                  <a:t>SALE</a:t>
                </a:r>
              </a:p>
            </c:rich>
          </c:tx>
          <c:layout>
            <c:manualLayout>
              <c:xMode val="edge"/>
              <c:yMode val="edge"/>
              <c:x val="3.2944663167104114E-2"/>
              <c:y val="0.3719032516768736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lgerian" panose="04020705040A02060702" pitchFamily="82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j-lt"/>
                <a:ea typeface="+mn-ea"/>
                <a:cs typeface="+mn-cs"/>
              </a:defRPr>
            </a:pPr>
            <a:endParaRPr lang="en-US"/>
          </a:p>
        </c:txPr>
        <c:crossAx val="39857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[adarsh.xlsm]Sheet4!PivotTable3</c:name>
    <c:fmtId val="1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PROFITS</a:t>
            </a:r>
          </a:p>
        </c:rich>
      </c:tx>
      <c:layout>
        <c:manualLayout>
          <c:xMode val="edge"/>
          <c:yMode val="edge"/>
          <c:x val="0.41128898422580895"/>
          <c:y val="6.842373869932924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9235880398671095E-2"/>
          <c:y val="0.19948855351414407"/>
          <c:w val="0.94152823920265782"/>
          <c:h val="0.58863116068824728"/>
        </c:manualLayout>
      </c:layout>
      <c:lineChart>
        <c:grouping val="stack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solidFill>
                <a:srgbClr val="5B9BD5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Sheet4!$A$4:$A$8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Sheet4!$B$4:$B$8</c:f>
              <c:numCache>
                <c:formatCode>General</c:formatCode>
                <c:ptCount val="4"/>
                <c:pt idx="0">
                  <c:v>5663.05</c:v>
                </c:pt>
                <c:pt idx="1">
                  <c:v>4628.87</c:v>
                </c:pt>
                <c:pt idx="2">
                  <c:v>4053.3</c:v>
                </c:pt>
                <c:pt idx="3">
                  <c:v>3417.7100000000005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BE-4865-8F88-F805BD5C5F8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398580272"/>
        <c:axId val="398579880"/>
      </c:lineChart>
      <c:catAx>
        <c:axId val="39858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79880"/>
        <c:crosses val="autoZero"/>
        <c:auto val="1"/>
        <c:lblAlgn val="ctr"/>
        <c:lblOffset val="100"/>
        <c:noMultiLvlLbl val="0"/>
      </c:catAx>
      <c:valAx>
        <c:axId val="3985798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858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[adarsh.xlsm]Sheet7!PivotTable6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Algerian" panose="04020705040A02060702" pitchFamily="82" charset="0"/>
              </a:rPr>
              <a:t>MONTH </a:t>
            </a:r>
            <a:r>
              <a:rPr lang="en-US" b="1" baseline="0">
                <a:solidFill>
                  <a:schemeClr val="bg1"/>
                </a:solidFill>
                <a:latin typeface="Algerian" panose="04020705040A02060702" pitchFamily="82" charset="0"/>
              </a:rPr>
              <a:t>- SALE</a:t>
            </a:r>
            <a:endParaRPr lang="en-US" b="1">
              <a:solidFill>
                <a:schemeClr val="bg1"/>
              </a:solidFill>
              <a:latin typeface="Algerian" panose="04020705040A02060702" pitchFamily="82" charset="0"/>
            </a:endParaRPr>
          </a:p>
        </c:rich>
      </c:tx>
      <c:layout>
        <c:manualLayout>
          <c:xMode val="edge"/>
          <c:yMode val="edge"/>
          <c:x val="0.33248600174978127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5555555555555552E-2"/>
          <c:y val="0.20513670166229223"/>
          <c:w val="0.81527777777777788"/>
          <c:h val="0.6431062263050451"/>
        </c:manualLayout>
      </c:layout>
      <c:pie3DChart>
        <c:varyColors val="1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F6BF-4E09-B437-6D12C296C90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F6BF-4E09-B437-6D12C296C90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6BF-4E09-B437-6D12C296C90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6BF-4E09-B437-6D12C296C90D}"/>
              </c:ext>
            </c:extLst>
          </c:dPt>
          <c:dLbls>
            <c:dLbl>
              <c:idx val="0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dLbl>
              <c:idx val="2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dLbl>
              <c:idx val="3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Sheet7!$A$4:$A$8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Sheet7!$B$4:$B$8</c:f>
              <c:numCache>
                <c:formatCode>General</c:formatCode>
                <c:ptCount val="4"/>
                <c:pt idx="0">
                  <c:v>31591.67</c:v>
                </c:pt>
                <c:pt idx="1">
                  <c:v>29790.690000000006</c:v>
                </c:pt>
                <c:pt idx="2">
                  <c:v>36858.43</c:v>
                </c:pt>
                <c:pt idx="3">
                  <c:v>10274.469999999999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6BF-4E09-B437-6D12C296C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38888888888893"/>
          <c:y val="0.36277887139107617"/>
          <c:w val="0.18194444444444444"/>
          <c:h val="0.30004410906969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[adarsh.xlsm]Sheet8!PivotTable7</c:name>
    <c:fmtId val="3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>
                <a:latin typeface="Algerian" panose="04020705040A02060702" pitchFamily="82" charset="0"/>
              </a:rPr>
              <a:t>TOP PRODUCT</a:t>
            </a:r>
          </a:p>
        </c:rich>
      </c:tx>
      <c:layout>
        <c:manualLayout>
          <c:xMode val="edge"/>
          <c:yMode val="edge"/>
          <c:x val="0.31301377952755904"/>
          <c:y val="7.76829979585885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percentStacked"/>
        <c:varyColors val="0"/>
        <c:ser>
          <c:idx val="0"/>
          <c:order val="0"/>
          <c:tx>
            <c:strRef>
              <c:f>Sheet8!$B$3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Sheet8!$A$4:$A$9</c:f>
              <c:strCache>
                <c:ptCount val="5"/>
                <c:pt idx="0">
                  <c:v>Laptop</c:v>
                </c:pt>
                <c:pt idx="1">
                  <c:v>Printer</c:v>
                </c:pt>
                <c:pt idx="2">
                  <c:v>Smartphone</c:v>
                </c:pt>
                <c:pt idx="3">
                  <c:v>Monitor</c:v>
                </c:pt>
                <c:pt idx="4">
                  <c:v>Tablet</c:v>
                </c:pt>
              </c:strCache>
            </c:strRef>
          </c:cat>
          <c:val>
            <c:numRef>
              <c:f>Sheet8!$B$4:$B$9</c:f>
              <c:numCache>
                <c:formatCode>General</c:formatCode>
                <c:ptCount val="5"/>
                <c:pt idx="0">
                  <c:v>27333.45</c:v>
                </c:pt>
                <c:pt idx="1">
                  <c:v>26934.86</c:v>
                </c:pt>
                <c:pt idx="2">
                  <c:v>23786.95</c:v>
                </c:pt>
                <c:pt idx="3">
                  <c:v>16702.77</c:v>
                </c:pt>
                <c:pt idx="4">
                  <c:v>13757.23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EE5-4CE8-9FE6-F127382B285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98582624"/>
        <c:axId val="398584192"/>
        <c:axId val="0"/>
      </c:bar3DChart>
      <c:catAx>
        <c:axId val="398582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584192"/>
        <c:crosses val="autoZero"/>
        <c:auto val="1"/>
        <c:lblAlgn val="ctr"/>
        <c:lblOffset val="100"/>
        <c:noMultiLvlLbl val="0"/>
      </c:catAx>
      <c:valAx>
        <c:axId val="39858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39858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[adarsh.xlsm]Sheet9!PivotTable1</c:name>
    <c:fmtId val="2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pattFill prst="ltDnDiag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solidFill>
              <a:schemeClr val="accent1"/>
            </a:solidFill>
          </a:ln>
          <a:effectLst/>
          <a:sp3d>
            <a:contourClr>
              <a:schemeClr val="accen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view3D>
      <c:rotX val="10"/>
      <c:rotY val="0"/>
      <c:depthPercent val="100"/>
      <c:rAngAx val="0"/>
    </c:view3D>
    <c:floor>
      <c:thickness val="0"/>
      <c:spPr>
        <a:solidFill>
          <a:schemeClr val="lt1"/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Sheet9!$B$3</c:f>
              <c:strCache>
                <c:ptCount val="1"/>
                <c:pt idx="0">
                  <c:v>Total</c:v>
                </c:pt>
              </c:strCache>
            </c:strRef>
          </c:tx>
          <c:spPr>
            <a:pattFill prst="ltDnDiag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solidFill>
                <a:schemeClr val="accent1"/>
              </a:solidFill>
            </a:ln>
            <a:effectLst/>
            <a:sp3d>
              <a:contourClr>
                <a:schemeClr val="accent1"/>
              </a:contourClr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Sheet9!$A$4:$A$35</c:f>
              <c:strCache>
                <c:ptCount val="31"/>
                <c:pt idx="0">
                  <c:v>0.00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0.10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0.20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0.30</c:v>
                </c:pt>
              </c:strCache>
            </c:strRef>
          </c:cat>
          <c:val>
            <c:numRef>
              <c:f>Sheet9!$B$4:$B$35</c:f>
              <c:numCache>
                <c:formatCode>General</c:formatCode>
                <c:ptCount val="31"/>
                <c:pt idx="0">
                  <c:v>56</c:v>
                </c:pt>
                <c:pt idx="1">
                  <c:v>780.02</c:v>
                </c:pt>
                <c:pt idx="2">
                  <c:v>840.89</c:v>
                </c:pt>
                <c:pt idx="3">
                  <c:v>1457.0500000000002</c:v>
                </c:pt>
                <c:pt idx="4">
                  <c:v>466.65000000000003</c:v>
                </c:pt>
                <c:pt idx="5">
                  <c:v>746.73</c:v>
                </c:pt>
                <c:pt idx="6">
                  <c:v>353.18999999999994</c:v>
                </c:pt>
                <c:pt idx="7">
                  <c:v>1081.17</c:v>
                </c:pt>
                <c:pt idx="8">
                  <c:v>281.49</c:v>
                </c:pt>
                <c:pt idx="9">
                  <c:v>259.85000000000002</c:v>
                </c:pt>
                <c:pt idx="10">
                  <c:v>374.56</c:v>
                </c:pt>
                <c:pt idx="11">
                  <c:v>697.06000000000006</c:v>
                </c:pt>
                <c:pt idx="12">
                  <c:v>498.43999999999994</c:v>
                </c:pt>
                <c:pt idx="13">
                  <c:v>254.21999999999997</c:v>
                </c:pt>
                <c:pt idx="14">
                  <c:v>524.57999999999993</c:v>
                </c:pt>
                <c:pt idx="15">
                  <c:v>531.59</c:v>
                </c:pt>
                <c:pt idx="16">
                  <c:v>717.56</c:v>
                </c:pt>
                <c:pt idx="17">
                  <c:v>1016.1099999999999</c:v>
                </c:pt>
                <c:pt idx="18">
                  <c:v>1382.4</c:v>
                </c:pt>
                <c:pt idx="19">
                  <c:v>77.069999999999993</c:v>
                </c:pt>
                <c:pt idx="20">
                  <c:v>175.69</c:v>
                </c:pt>
                <c:pt idx="21">
                  <c:v>744.65000000000009</c:v>
                </c:pt>
                <c:pt idx="22">
                  <c:v>614.04999999999995</c:v>
                </c:pt>
                <c:pt idx="23">
                  <c:v>885.17000000000007</c:v>
                </c:pt>
                <c:pt idx="24">
                  <c:v>142.59</c:v>
                </c:pt>
                <c:pt idx="25">
                  <c:v>856.26</c:v>
                </c:pt>
                <c:pt idx="26">
                  <c:v>474.33000000000004</c:v>
                </c:pt>
                <c:pt idx="27">
                  <c:v>691.77</c:v>
                </c:pt>
                <c:pt idx="28">
                  <c:v>437.53000000000003</c:v>
                </c:pt>
                <c:pt idx="29">
                  <c:v>190.01</c:v>
                </c:pt>
                <c:pt idx="30">
                  <c:v>154.25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CA5-451D-A8D7-9B2BA8E9283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0"/>
        <c:gapDepth val="0"/>
        <c:shape val="box"/>
        <c:axId val="399253056"/>
        <c:axId val="399253840"/>
        <c:axId val="0"/>
      </c:bar3DChart>
      <c:catAx>
        <c:axId val="3992530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53840"/>
        <c:crosses val="autoZero"/>
        <c:auto val="1"/>
        <c:lblAlgn val="ctr"/>
        <c:lblOffset val="100"/>
        <c:noMultiLvlLbl val="0"/>
      </c:catAx>
      <c:valAx>
        <c:axId val="39925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5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[adarsh.xlsm]Sheet11!PivotTable3</c:name>
    <c:fmtId val="27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2">
                <a:alpha val="7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9444444444444445E-2"/>
              <c:y val="-6.0185185185185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5.2777777777777778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224759405074369"/>
          <c:y val="0.13323855351414407"/>
          <c:w val="0.63941382327209095"/>
          <c:h val="0.8065762613006707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Sheet11!$A$3</c:f>
              <c:strCache>
                <c:ptCount val="1"/>
                <c:pt idx="0">
                  <c:v>TOTAL SALE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1.9444444444444445E-2"/>
                  <c:y val="-6.0185185185185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Sheet11!$A$4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Sheet11!$A$4</c:f>
              <c:numCache>
                <c:formatCode>General</c:formatCode>
                <c:ptCount val="1"/>
                <c:pt idx="0">
                  <c:v>108515.26000000002</c:v>
                </c:pt>
              </c:numCache>
            </c:numRef>
          </c:val>
        </c:ser>
        <c:ser>
          <c:idx val="1"/>
          <c:order val="1"/>
          <c:tx>
            <c:strRef>
              <c:f>Sheet11!$B$3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2777777777777778E-2"/>
                  <c:y val="-7.8703703703703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Sheet11!$A$4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Sheet11!$B$4</c:f>
              <c:numCache>
                <c:formatCode>General</c:formatCode>
                <c:ptCount val="1"/>
                <c:pt idx="0">
                  <c:v>17762.93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69348384"/>
        <c:axId val="469350344"/>
        <c:axId val="0"/>
      </c:bar3DChart>
      <c:catAx>
        <c:axId val="46934838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9350344"/>
        <c:crosses val="autoZero"/>
        <c:auto val="1"/>
        <c:lblAlgn val="ctr"/>
        <c:lblOffset val="100"/>
        <c:noMultiLvlLbl val="0"/>
      </c:catAx>
      <c:valAx>
        <c:axId val="469350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348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277252843394574"/>
          <c:y val="8.1011227763196584E-3"/>
          <c:w val="0.20167191601049869"/>
          <c:h val="0.214258165645960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[adarsh.xlsm]Sheet3!PivotTable1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 b="1">
                <a:latin typeface="Algerian" panose="04020705040A02060702" pitchFamily="82" charset="0"/>
              </a:rPr>
              <a:t>  SALE BY REGION</a:t>
            </a:r>
          </a:p>
        </c:rich>
      </c:tx>
      <c:layout>
        <c:manualLayout>
          <c:xMode val="edge"/>
          <c:yMode val="edge"/>
          <c:x val="0.33634011373578304"/>
          <c:y val="2.67570720326625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  <c:spPr>
          <a:gradFill>
            <a:gsLst>
              <a:gs pos="100000">
                <a:schemeClr val="accent1">
                  <a:alpha val="0"/>
                </a:schemeClr>
              </a:gs>
              <a:gs pos="50000">
                <a:schemeClr val="accent1"/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7124759405074366"/>
          <c:y val="0.16553040244969378"/>
          <c:w val="0.74845603674540684"/>
          <c:h val="0.5706835083114610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100000">
                  <a:schemeClr val="accent1">
                    <a:alpha val="0"/>
                  </a:schemeClr>
                </a:gs>
                <a:gs pos="50000">
                  <a:schemeClr val="accent1"/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Sheet3!$A$4:$A$8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Sheet3!$B$4:$B$8</c:f>
              <c:numCache>
                <c:formatCode>General</c:formatCode>
                <c:ptCount val="4"/>
                <c:pt idx="0">
                  <c:v>35157.760000000002</c:v>
                </c:pt>
                <c:pt idx="1">
                  <c:v>27524.759999999991</c:v>
                </c:pt>
                <c:pt idx="2">
                  <c:v>24517.069999999996</c:v>
                </c:pt>
                <c:pt idx="3">
                  <c:v>21315.670000000002</c:v>
                </c:pt>
              </c:numCache>
            </c:numRef>
          </c:val>
          <c:shape val="cylinder"/>
          <c:extLst xmlns:c16r2="http://schemas.microsoft.com/office/drawing/2015/06/chart">
            <c:ext xmlns:c16="http://schemas.microsoft.com/office/drawing/2014/chart" uri="{C3380CC4-5D6E-409C-BE32-E72D297353CC}">
              <c16:uniqueId val="{00000000-0E54-4A2D-9F5E-A36214AD0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gapDepth val="0"/>
        <c:shape val="box"/>
        <c:axId val="399257368"/>
        <c:axId val="399258936"/>
        <c:axId val="0"/>
      </c:bar3DChart>
      <c:catAx>
        <c:axId val="399257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399258936"/>
        <c:crosses val="autoZero"/>
        <c:auto val="1"/>
        <c:lblAlgn val="ctr"/>
        <c:lblOffset val="100"/>
        <c:noMultiLvlLbl val="0"/>
      </c:catAx>
      <c:valAx>
        <c:axId val="399258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57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2">
        <a:lumMod val="60000"/>
        <a:lumOff val="4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[adarsh.xlsm]Sheet4!PivotTable3</c:name>
    <c:fmtId val="2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PROFIT</a:t>
            </a:r>
            <a:r>
              <a:rPr lang="en-IN" baseline="0"/>
              <a:t> BY REGION</a:t>
            </a:r>
            <a:endParaRPr lang="en-IN"/>
          </a:p>
        </c:rich>
      </c:tx>
      <c:layout>
        <c:manualLayout>
          <c:xMode val="edge"/>
          <c:yMode val="edge"/>
          <c:x val="0.30780942994642319"/>
          <c:y val="3.5201482167670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pattFill prst="ltUpDiag">
            <a:fgClr>
              <a:schemeClr val="accent1"/>
            </a:fgClr>
            <a:bgClr>
              <a:schemeClr val="lt1"/>
            </a:bgClr>
          </a:pattFill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solidFill>
              <a:srgbClr val="5B9BD5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ln w="25400" cap="rnd">
            <a:solidFill>
              <a:schemeClr val="lt1"/>
            </a:solidFill>
            <a:round/>
          </a:ln>
          <a:effectLst>
            <a:outerShdw dist="25400" dir="2700000" algn="tl" rotWithShape="0">
              <a:schemeClr val="accent1"/>
            </a:outerShdw>
          </a:effectLst>
        </c:spPr>
        <c:marker>
          <c:symbol val="circle"/>
          <c:size val="14"/>
          <c:spPr>
            <a:solidFill>
              <a:schemeClr val="accent1"/>
            </a:solidFill>
            <a:ln>
              <a:noFill/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2.9235880398671095E-2"/>
          <c:y val="0.19948855351414407"/>
          <c:w val="0.94152823920265782"/>
          <c:h val="0.58863116068824728"/>
        </c:manualLayout>
      </c:layout>
      <c:lineChart>
        <c:grouping val="stacke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solidFill>
                <a:schemeClr val="lt1"/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14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delete val="1"/>
          </c:dLbls>
          <c:cat>
            <c:strRef>
              <c:f>Sheet4!$A$4:$A$8</c:f>
              <c:strCache>
                <c:ptCount val="4"/>
                <c:pt idx="0">
                  <c:v>West</c:v>
                </c:pt>
                <c:pt idx="1">
                  <c:v>South</c:v>
                </c:pt>
                <c:pt idx="2">
                  <c:v>East</c:v>
                </c:pt>
                <c:pt idx="3">
                  <c:v>North</c:v>
                </c:pt>
              </c:strCache>
            </c:strRef>
          </c:cat>
          <c:val>
            <c:numRef>
              <c:f>Sheet4!$B$4:$B$8</c:f>
              <c:numCache>
                <c:formatCode>General</c:formatCode>
                <c:ptCount val="4"/>
                <c:pt idx="0">
                  <c:v>5663.05</c:v>
                </c:pt>
                <c:pt idx="1">
                  <c:v>4628.87</c:v>
                </c:pt>
                <c:pt idx="2">
                  <c:v>4053.3</c:v>
                </c:pt>
                <c:pt idx="3">
                  <c:v>3417.7100000000005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A9F-4892-A799-00C4FAB203B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gradFill>
                <a:gsLst>
                  <a:gs pos="0">
                    <a:schemeClr val="lt1"/>
                  </a:gs>
                  <a:gs pos="100000">
                    <a:schemeClr val="lt1">
                      <a:alpha val="0"/>
                    </a:schemeClr>
                  </a:gs>
                </a:gsLst>
                <a:lin ang="5400000" scaled="0"/>
              </a:gradFill>
              <a:round/>
            </a:ln>
            <a:effectLst/>
          </c:spPr>
        </c:dropLines>
        <c:marker val="1"/>
        <c:smooth val="0"/>
        <c:axId val="399258152"/>
        <c:axId val="399255016"/>
      </c:lineChart>
      <c:catAx>
        <c:axId val="39925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3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255016"/>
        <c:crosses val="autoZero"/>
        <c:auto val="1"/>
        <c:lblAlgn val="ctr"/>
        <c:lblOffset val="100"/>
        <c:noMultiLvlLbl val="0"/>
      </c:catAx>
      <c:valAx>
        <c:axId val="3992550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99258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accent1"/>
    </a:solidFill>
    <a:ln w="9525" cap="flat" cmpd="sng" algn="ctr">
      <a:solidFill>
        <a:schemeClr val="lt1">
          <a:lumMod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[adarsh.xlsm]Sheet7!PivotTable6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 b="1">
                <a:solidFill>
                  <a:schemeClr val="bg1"/>
                </a:solidFill>
                <a:latin typeface="Algerian" panose="04020705040A02060702" pitchFamily="82" charset="0"/>
              </a:rPr>
              <a:t>MONTH </a:t>
            </a:r>
            <a:r>
              <a:rPr lang="en-US" b="1" baseline="0">
                <a:solidFill>
                  <a:schemeClr val="bg1"/>
                </a:solidFill>
                <a:latin typeface="Algerian" panose="04020705040A02060702" pitchFamily="82" charset="0"/>
              </a:rPr>
              <a:t>- SALE</a:t>
            </a:r>
            <a:endParaRPr lang="en-US" b="1">
              <a:solidFill>
                <a:schemeClr val="bg1"/>
              </a:solidFill>
              <a:latin typeface="Algerian" panose="04020705040A02060702" pitchFamily="82" charset="0"/>
            </a:endParaRPr>
          </a:p>
        </c:rich>
      </c:tx>
      <c:layout>
        <c:manualLayout>
          <c:xMode val="edge"/>
          <c:yMode val="edge"/>
          <c:x val="0.33248600174978127"/>
          <c:y val="4.52755905511811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8365748947753091E-2"/>
          <c:y val="0.27208503326161798"/>
          <c:w val="0.81527777777777788"/>
          <c:h val="0.6431062263050451"/>
        </c:manualLayout>
      </c:layout>
      <c:pie3DChart>
        <c:varyColors val="1"/>
        <c:ser>
          <c:idx val="0"/>
          <c:order val="0"/>
          <c:tx>
            <c:strRef>
              <c:f>Sheet7!$B$3</c:f>
              <c:strCache>
                <c:ptCount val="1"/>
                <c:pt idx="0">
                  <c:v>Total</c:v>
                </c:pt>
              </c:strCache>
            </c:strRef>
          </c:tx>
          <c:explosion val="9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87F-4CA7-A9D4-8782C2095CA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87F-4CA7-A9D4-8782C2095CA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C87F-4CA7-A9D4-8782C2095CA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C87F-4CA7-A9D4-8782C2095CAD}"/>
              </c:ext>
            </c:extLst>
          </c:dPt>
          <c:dLbls>
            <c:dLbl>
              <c:idx val="0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Sheet7!$A$4:$A$8</c:f>
              <c:strCache>
                <c:ptCount val="4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</c:strCache>
            </c:strRef>
          </c:cat>
          <c:val>
            <c:numRef>
              <c:f>Sheet7!$B$4:$B$8</c:f>
              <c:numCache>
                <c:formatCode>General</c:formatCode>
                <c:ptCount val="4"/>
                <c:pt idx="0">
                  <c:v>31591.67</c:v>
                </c:pt>
                <c:pt idx="1">
                  <c:v>29790.690000000006</c:v>
                </c:pt>
                <c:pt idx="2">
                  <c:v>36858.43</c:v>
                </c:pt>
                <c:pt idx="3">
                  <c:v>10274.469999999999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C87F-4CA7-A9D4-8782C2095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138888888888893"/>
          <c:y val="0.36277887139107617"/>
          <c:w val="0.18194444444444444"/>
          <c:h val="0.300044109069699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[adarsh.xlsm]Sheet8!PivotTable7</c:name>
    <c:fmtId val="3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Algerian" panose="04020705040A02060702" pitchFamily="82" charset="0"/>
                <a:ea typeface="+mn-ea"/>
                <a:cs typeface="+mn-cs"/>
              </a:defRPr>
            </a:pPr>
            <a:r>
              <a:rPr lang="en-US">
                <a:latin typeface="Algerian" panose="04020705040A02060702" pitchFamily="82" charset="0"/>
              </a:rPr>
              <a:t>TOP PRODUCT</a:t>
            </a:r>
          </a:p>
        </c:rich>
      </c:tx>
      <c:layout>
        <c:manualLayout>
          <c:xMode val="edge"/>
          <c:yMode val="edge"/>
          <c:x val="0.31029231096604887"/>
          <c:y val="4.94093408865102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Algerian" panose="04020705040A02060702" pitchFamily="82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</c:pivotFmt>
      <c:pivotFmt>
        <c:idx val="1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  <c:dLbl>
          <c:idx val="0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721524019163815E-3"/>
              <c:y val="-0.3190869527052899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2.721524019163815E-3"/>
              <c:y val="-0.3271651034066897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5.4431551849425577E-3"/>
              <c:y val="-0.3271649443879751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10974556321939576"/>
                  <c:h val="5.6486627798252309E-2"/>
                </c:manualLayout>
              </c15:layout>
            </c:ext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-4.9894030637903722E-17"/>
              <c:y val="-0.3231260280559898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dLbl>
          <c:idx val="0"/>
          <c:layout>
            <c:manualLayout>
              <c:x val="8.1645720574914198E-3"/>
              <c:y val="-0.3110088020038902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910760584531929"/>
          <c:y val="0.24912635118201787"/>
          <c:w val="0.83734800984805957"/>
          <c:h val="0.53220192578024117"/>
        </c:manualLayout>
      </c:layout>
      <c:bar3DChart>
        <c:barDir val="col"/>
        <c:grouping val="percentStacked"/>
        <c:varyColors val="0"/>
        <c:ser>
          <c:idx val="0"/>
          <c:order val="0"/>
          <c:tx>
            <c:strRef>
              <c:f>Sheet8!$B$3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dLbl>
              <c:idx val="0"/>
              <c:layout>
                <c:manualLayout>
                  <c:x val="8.1645720574914198E-3"/>
                  <c:y val="-0.3110088020038902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>
                <c:manualLayout>
                  <c:x val="-4.9894030637903722E-17"/>
                  <c:y val="-0.3231260280559898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2.721524019163815E-3"/>
                  <c:y val="-0.3190869527052899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2.721524019163815E-3"/>
                  <c:y val="-0.3271651034066897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5.4431551849425577E-3"/>
                  <c:y val="-0.3271649443879751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974556321939576"/>
                      <c:h val="5.6486627798252309E-2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Sheet8!$A$4:$A$9</c:f>
              <c:strCache>
                <c:ptCount val="5"/>
                <c:pt idx="0">
                  <c:v>Laptop</c:v>
                </c:pt>
                <c:pt idx="1">
                  <c:v>Printer</c:v>
                </c:pt>
                <c:pt idx="2">
                  <c:v>Smartphone</c:v>
                </c:pt>
                <c:pt idx="3">
                  <c:v>Monitor</c:v>
                </c:pt>
                <c:pt idx="4">
                  <c:v>Tablet</c:v>
                </c:pt>
              </c:strCache>
            </c:strRef>
          </c:cat>
          <c:val>
            <c:numRef>
              <c:f>Sheet8!$B$4:$B$9</c:f>
              <c:numCache>
                <c:formatCode>General</c:formatCode>
                <c:ptCount val="5"/>
                <c:pt idx="0">
                  <c:v>27333.45</c:v>
                </c:pt>
                <c:pt idx="1">
                  <c:v>26934.86</c:v>
                </c:pt>
                <c:pt idx="2">
                  <c:v>23786.95</c:v>
                </c:pt>
                <c:pt idx="3">
                  <c:v>16702.77</c:v>
                </c:pt>
                <c:pt idx="4">
                  <c:v>13757.23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2C-4CA7-8A31-B1BF5CB462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399259720"/>
        <c:axId val="399252664"/>
        <c:axId val="0"/>
      </c:bar3DChart>
      <c:catAx>
        <c:axId val="39925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399252664"/>
        <c:crosses val="autoZero"/>
        <c:auto val="1"/>
        <c:lblAlgn val="ctr"/>
        <c:lblOffset val="100"/>
        <c:noMultiLvlLbl val="0"/>
      </c:catAx>
      <c:valAx>
        <c:axId val="3992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Algerian" panose="04020705040A02060702" pitchFamily="82" charset="0"/>
                <a:ea typeface="+mn-ea"/>
                <a:cs typeface="+mn-cs"/>
              </a:defRPr>
            </a:pPr>
            <a:endParaRPr lang="en-US"/>
          </a:p>
        </c:txPr>
        <c:crossAx val="399259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[adarsh.xlsm]Sheet11!PivotTable3</c:name>
    <c:fmtId val="30"/>
  </c:pivotSource>
  <c:chart>
    <c:autoTitleDeleted val="0"/>
    <c:pivotFmts>
      <c:pivotFmt>
        <c:idx val="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1">
                <a:alpha val="70000"/>
              </a:schemeClr>
            </a:solidFill>
            <a:ln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circle"/>
          <c:size val="6"/>
          <c:spPr>
            <a:solidFill>
              <a:schemeClr val="accent2">
                <a:alpha val="7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9444444444444445E-2"/>
              <c:y val="-6.0185185185185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5.2777777777777778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9444444444444445E-2"/>
              <c:y val="-6.0185185185185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5.2777777777777778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dLbl>
          <c:idx val="0"/>
          <c:layout>
            <c:manualLayout>
              <c:x val="1.9444444444444445E-2"/>
              <c:y val="-6.018518518518521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0"/>
        <c:spPr>
          <a:solidFill>
            <a:schemeClr val="accent1"/>
          </a:solidFill>
          <a:ln>
            <a:solidFill>
              <a:schemeClr val="accent1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1">
                <a:lumMod val="75000"/>
              </a:schemeClr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2"/>
          </a:solidFill>
          <a:ln>
            <a:solidFill>
              <a:schemeClr val="accent2">
                <a:lumMod val="75000"/>
              </a:schemeClr>
            </a:solidFill>
          </a:ln>
          <a:effectLst/>
          <a:scene3d>
            <a:camera prst="orthographicFront"/>
            <a:lightRig rig="threePt" dir="t"/>
          </a:scene3d>
          <a:sp3d prstMaterial="translucentPowder">
            <a:contourClr>
              <a:schemeClr val="accent2">
                <a:lumMod val="75000"/>
              </a:schemeClr>
            </a:contourClr>
          </a:sp3d>
        </c:spPr>
        <c:dLbl>
          <c:idx val="0"/>
          <c:layout>
            <c:manualLayout>
              <c:x val="5.2777777777777778E-2"/>
              <c:y val="-7.87037037037037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Arial Black" panose="020B0A040201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solidFill>
          <a:schemeClr val="lt1">
            <a:alpha val="27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4224759405074369"/>
          <c:y val="0.13323855351414407"/>
          <c:w val="0.63941382327209095"/>
          <c:h val="0.8065762613006707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Sheet11!$A$3</c:f>
              <c:strCache>
                <c:ptCount val="1"/>
                <c:pt idx="0">
                  <c:v>TOTAL SALE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1">
                  <a:lumMod val="75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1.9444444444444445E-2"/>
                  <c:y val="-6.0185185185185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Sheet11!$A$4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Sheet11!$A$4</c:f>
              <c:numCache>
                <c:formatCode>General</c:formatCode>
                <c:ptCount val="1"/>
                <c:pt idx="0">
                  <c:v>108515.26000000002</c:v>
                </c:pt>
              </c:numCache>
            </c:numRef>
          </c:val>
        </c:ser>
        <c:ser>
          <c:idx val="1"/>
          <c:order val="1"/>
          <c:tx>
            <c:strRef>
              <c:f>Sheet11!$B$3</c:f>
              <c:strCache>
                <c:ptCount val="1"/>
                <c:pt idx="0">
                  <c:v>TOTAL PROFIT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accent2">
                  <a:lumMod val="7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 prstMaterial="translucentPowder">
              <a:contourClr>
                <a:schemeClr val="accent2">
                  <a:lumMod val="75000"/>
                </a:schemeClr>
              </a:contourClr>
            </a:sp3d>
          </c:spPr>
          <c:invertIfNegative val="0"/>
          <c:dLbls>
            <c:dLbl>
              <c:idx val="0"/>
              <c:layout>
                <c:manualLayout>
                  <c:x val="5.2777777777777778E-2"/>
                  <c:y val="-7.87037037037037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Black" panose="020B0A040201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Sheet11!$A$4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Sheet11!$B$4</c:f>
              <c:numCache>
                <c:formatCode>General</c:formatCode>
                <c:ptCount val="1"/>
                <c:pt idx="0">
                  <c:v>17762.93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476436056"/>
        <c:axId val="476443896"/>
        <c:axId val="0"/>
      </c:bar3DChart>
      <c:catAx>
        <c:axId val="476436056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76443896"/>
        <c:crosses val="autoZero"/>
        <c:auto val="1"/>
        <c:lblAlgn val="ctr"/>
        <c:lblOffset val="100"/>
        <c:noMultiLvlLbl val="0"/>
      </c:catAx>
      <c:valAx>
        <c:axId val="47644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6436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277252843394574"/>
          <c:y val="8.1011227763196584E-3"/>
          <c:w val="0.20167191601049869"/>
          <c:h val="0.214258165645960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8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pattFill prst="ltDn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>
        <a:solidFill>
          <a:schemeClr val="phClr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solidFill>
        <a:schemeClr val="lt1"/>
      </a:solidFill>
      <a:sp3d/>
    </cs:spPr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/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alpha val="0"/>
            </a:schemeClr>
          </a:gs>
          <a:gs pos="50000">
            <a:schemeClr val="phClr"/>
          </a:gs>
        </a:gsLst>
        <a:lin ang="5400000" scaled="0"/>
      </a:gradFill>
      <a:sp3d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92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</cs:spPr>
  </cs:dataPoint>
  <cs:dataPoint3D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>
            <a:lumMod val="75000"/>
          </a:schemeClr>
        </a:solidFill>
      </a:ln>
      <a:scene3d>
        <a:camera prst="orthographicFront"/>
        <a:lightRig rig="threePt" dir="t"/>
      </a:scene3d>
      <a:sp3d prstMaterial="translucentPowder"/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  <a:ln>
        <a:solidFill>
          <a:schemeClr val="phClr">
            <a:lumMod val="75000"/>
          </a:schemeClr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lt1">
          <a:alpha val="27000"/>
        </a:schemeClr>
      </a:solidFill>
      <a:sp3d/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0" kern="1200" cap="none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sp3d/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3</xdr:row>
      <xdr:rowOff>104775</xdr:rowOff>
    </xdr:from>
    <xdr:to>
      <xdr:col>11</xdr:col>
      <xdr:colOff>123825</xdr:colOff>
      <xdr:row>18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488950</xdr:colOff>
      <xdr:row>3</xdr:row>
      <xdr:rowOff>92075</xdr:rowOff>
    </xdr:from>
    <xdr:to>
      <xdr:col>12</xdr:col>
      <xdr:colOff>390525</xdr:colOff>
      <xdr:row>18</xdr:row>
      <xdr:rowOff>73025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511175</xdr:colOff>
      <xdr:row>3</xdr:row>
      <xdr:rowOff>47625</xdr:rowOff>
    </xdr:from>
    <xdr:to>
      <xdr:col>11</xdr:col>
      <xdr:colOff>206375</xdr:colOff>
      <xdr:row>18</xdr:row>
      <xdr:rowOff>28575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187325</xdr:colOff>
      <xdr:row>3</xdr:row>
      <xdr:rowOff>168275</xdr:rowOff>
    </xdr:from>
    <xdr:to>
      <xdr:col>12</xdr:col>
      <xdr:colOff>492125</xdr:colOff>
      <xdr:row>18</xdr:row>
      <xdr:rowOff>149225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273326</xdr:colOff>
      <xdr:row>19</xdr:row>
      <xdr:rowOff>83379</xdr:rowOff>
    </xdr:from>
    <xdr:to>
      <xdr:col>9</xdr:col>
      <xdr:colOff>593587</xdr:colOff>
      <xdr:row>34</xdr:row>
      <xdr:rowOff>93318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212725</xdr:colOff>
      <xdr:row>0</xdr:row>
      <xdr:rowOff>31750</xdr:rowOff>
    </xdr:from>
    <xdr:to>
      <xdr:col>13</xdr:col>
      <xdr:colOff>155575</xdr:colOff>
      <xdr:row>15</xdr:row>
      <xdr:rowOff>12700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85911</xdr:colOff>
      <xdr:row>101</xdr:row>
      <xdr:rowOff>89647</xdr:rowOff>
    </xdr:from>
    <xdr:to>
      <xdr:col>7</xdr:col>
      <xdr:colOff>212911</xdr:colOff>
      <xdr:row>116</xdr:row>
      <xdr:rowOff>164726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44450</xdr:colOff>
      <xdr:row>117</xdr:row>
      <xdr:rowOff>114300</xdr:rowOff>
    </xdr:from>
    <xdr:to>
      <xdr:col>7</xdr:col>
      <xdr:colOff>107950</xdr:colOff>
      <xdr:row>131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5604</xdr:colOff>
      <xdr:row>131</xdr:row>
      <xdr:rowOff>97118</xdr:rowOff>
    </xdr:from>
    <xdr:to>
      <xdr:col>7</xdr:col>
      <xdr:colOff>306295</xdr:colOff>
      <xdr:row>146</xdr:row>
      <xdr:rowOff>164351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59766</xdr:colOff>
      <xdr:row>147</xdr:row>
      <xdr:rowOff>37353</xdr:rowOff>
    </xdr:from>
    <xdr:to>
      <xdr:col>7</xdr:col>
      <xdr:colOff>281269</xdr:colOff>
      <xdr:row>163</xdr:row>
      <xdr:rowOff>121396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45903</xdr:colOff>
      <xdr:row>164</xdr:row>
      <xdr:rowOff>1</xdr:rowOff>
    </xdr:from>
    <xdr:to>
      <xdr:col>7</xdr:col>
      <xdr:colOff>290722</xdr:colOff>
      <xdr:row>179</xdr:row>
      <xdr:rowOff>15301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eepanshu Sagar" refreshedDate="45753.703531018517" createdVersion="6" refreshedVersion="6" minRefreshableVersion="3" recordCount="98">
  <cacheSource type="worksheet">
    <worksheetSource name="Table2"/>
  </cacheSource>
  <cacheFields count="11">
    <cacheField name="ORDER ID" numFmtId="0">
      <sharedItems containsSemiMixedTypes="0" containsString="0" containsNumber="1" containsInteger="1" minValue="1001" maxValue="1098"/>
    </cacheField>
    <cacheField name="ORDER DATE" numFmtId="164">
      <sharedItems containsSemiMixedTypes="0" containsNonDate="0" containsDate="1" containsString="0" minDate="2023-01-01T00:00:00" maxDate="2023-04-09T00:00:00" count="98">
        <d v="2023-01-01T00:00:00"/>
        <d v="2023-01-02T00:00:00"/>
        <d v="2023-01-03T00:00:00"/>
        <d v="2023-01-04T00:00:00"/>
        <d v="2023-01-05T00:00:00"/>
        <d v="2023-01-06T00:00:00"/>
        <d v="2023-01-07T00:00:00"/>
        <d v="2023-01-08T00:00:00"/>
        <d v="2023-01-09T00:00:00"/>
        <d v="2023-01-10T00:00:00"/>
        <d v="2023-01-11T00:00:00"/>
        <d v="2023-01-12T00:00:00"/>
        <d v="2023-01-13T00:00:00"/>
        <d v="2023-01-14T00:00:00"/>
        <d v="2023-01-15T00:00:00"/>
        <d v="2023-01-16T00:00:00"/>
        <d v="2023-01-17T00:00:00"/>
        <d v="2023-01-18T00:00:00"/>
        <d v="2023-01-19T00:00:00"/>
        <d v="2023-01-20T00:00:00"/>
        <d v="2023-01-21T00:00:00"/>
        <d v="2023-01-22T00:00:00"/>
        <d v="2023-01-23T00:00:00"/>
        <d v="2023-01-24T00:00:00"/>
        <d v="2023-01-25T00:00:00"/>
        <d v="2023-01-26T00:00:00"/>
        <d v="2023-01-27T00:00:00"/>
        <d v="2023-01-28T00:00:00"/>
        <d v="2023-01-29T00:00:00"/>
        <d v="2023-01-30T00:00:00"/>
        <d v="2023-01-31T00:00:00"/>
        <d v="2023-02-01T00:00:00"/>
        <d v="2023-02-02T00:00:00"/>
        <d v="2023-02-03T00:00:00"/>
        <d v="2023-02-04T00:00:00"/>
        <d v="2023-02-05T00:00:00"/>
        <d v="2023-02-06T00:00:00"/>
        <d v="2023-02-07T00:00:00"/>
        <d v="2023-02-08T00:00:00"/>
        <d v="2023-02-09T00:00:00"/>
        <d v="2023-02-10T00:00:00"/>
        <d v="2023-02-11T00:00:00"/>
        <d v="2023-02-12T00:00:00"/>
        <d v="2023-02-13T00:00:00"/>
        <d v="2023-02-14T00:00:00"/>
        <d v="2023-02-15T00:00:00"/>
        <d v="2023-02-16T00:00:00"/>
        <d v="2023-02-17T00:00:00"/>
        <d v="2023-02-18T00:00:00"/>
        <d v="2023-02-19T00:00:00"/>
        <d v="2023-02-20T00:00:00"/>
        <d v="2023-02-21T00:00:00"/>
        <d v="2023-02-22T00:00:00"/>
        <d v="2023-02-23T00:00:00"/>
        <d v="2023-02-24T00:00:00"/>
        <d v="2023-02-25T00:00:00"/>
        <d v="2023-02-26T00:00:00"/>
        <d v="2023-02-27T00:00:00"/>
        <d v="2023-02-28T00:00:00"/>
        <d v="2023-03-01T00:00:00"/>
        <d v="2023-03-02T00:00:00"/>
        <d v="2023-03-03T00:00:00"/>
        <d v="2023-03-04T00:00:00"/>
        <d v="2023-03-05T00:00:00"/>
        <d v="2023-03-06T00:00:00"/>
        <d v="2023-03-07T00:00:00"/>
        <d v="2023-03-08T00:00:00"/>
        <d v="2023-03-09T00:00:00"/>
        <d v="2023-03-10T00:00:00"/>
        <d v="2023-03-11T00:00:00"/>
        <d v="2023-03-12T00:00:00"/>
        <d v="2023-03-13T00:00:00"/>
        <d v="2023-03-14T00:00:00"/>
        <d v="2023-03-15T00:00:00"/>
        <d v="2023-03-16T00:00:00"/>
        <d v="2023-03-17T00:00:00"/>
        <d v="2023-03-18T00:00:00"/>
        <d v="2023-03-19T00:00:00"/>
        <d v="2023-03-20T00:00:00"/>
        <d v="2023-03-21T00:00:00"/>
        <d v="2023-03-22T00:00:00"/>
        <d v="2023-03-23T00:00:00"/>
        <d v="2023-03-24T00:00:00"/>
        <d v="2023-03-25T00:00:00"/>
        <d v="2023-03-26T00:00:00"/>
        <d v="2023-03-27T00:00:00"/>
        <d v="2023-03-28T00:00:00"/>
        <d v="2023-03-29T00:00:00"/>
        <d v="2023-03-30T00:00:00"/>
        <d v="2023-03-31T00:00:00"/>
        <d v="2023-04-01T00:00:00"/>
        <d v="2023-04-02T00:00:00"/>
        <d v="2023-04-03T00:00:00"/>
        <d v="2023-04-04T00:00:00"/>
        <d v="2023-04-05T00:00:00"/>
        <d v="2023-04-06T00:00:00"/>
        <d v="2023-04-07T00:00:00"/>
        <d v="2023-04-08T00:00:00"/>
      </sharedItems>
      <fieldGroup par="10" base="1">
        <rangePr groupBy="days" startDate="2023-01-01T00:00:00" endDate="2023-04-09T00:00:00"/>
        <groupItems count="368">
          <s v="&lt;01-01-2023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09-04-2023"/>
        </groupItems>
      </fieldGroup>
    </cacheField>
    <cacheField name="REGION" numFmtId="0">
      <sharedItems count="4">
        <s v="East"/>
        <s v="West"/>
        <s v="North"/>
        <s v="South"/>
      </sharedItems>
    </cacheField>
    <cacheField name="PRODUCT" numFmtId="0">
      <sharedItems count="5">
        <s v="Laptop"/>
        <s v="Printer"/>
        <s v="Monitor"/>
        <s v="Smartphone"/>
        <s v="Tablet"/>
      </sharedItems>
    </cacheField>
    <cacheField name="CATEGORY" numFmtId="0">
      <sharedItems count="2">
        <s v="Accessories"/>
        <s v="Electronics"/>
      </sharedItems>
    </cacheField>
    <cacheField name="SALES" numFmtId="165">
      <sharedItems containsSemiMixedTypes="0" containsString="0" containsNumber="1" minValue="174.03" maxValue="1992.27" count="98">
        <n v="1658.81"/>
        <n v="1337.82"/>
        <n v="492.7"/>
        <n v="620.53"/>
        <n v="507.72"/>
        <n v="816.79"/>
        <n v="174.03"/>
        <n v="1274.68"/>
        <n v="739.45"/>
        <n v="1345.87"/>
        <n v="832.25"/>
        <n v="1395.07"/>
        <n v="747.19"/>
        <n v="595.32000000000005"/>
        <n v="1042.47"/>
        <n v="1416.49"/>
        <n v="761.84"/>
        <n v="1879.63"/>
        <n v="174.45"/>
        <n v="894.1"/>
        <n v="1938.4"/>
        <n v="1141.1500000000001"/>
        <n v="904.59"/>
        <n v="1180.19"/>
        <n v="1194.26"/>
        <n v="1490.13"/>
        <n v="342.61"/>
        <n v="575.03"/>
        <n v="1203.03"/>
        <n v="1747.52"/>
        <n v="1167.55"/>
        <n v="553.33000000000004"/>
        <n v="1391.71"/>
        <n v="1505.83"/>
        <n v="552.65"/>
        <n v="817.68"/>
        <n v="1115.22"/>
        <n v="1043.47"/>
        <n v="840.27"/>
        <n v="665.51"/>
        <n v="289.97000000000003"/>
        <n v="201.62"/>
        <n v="1921.23"/>
        <n v="1709.57"/>
        <n v="774.32"/>
        <n v="1917.92"/>
        <n v="1385.86"/>
        <n v="1016.79"/>
        <n v="1036.75"/>
        <n v="258.24"/>
        <n v="274.24"/>
        <n v="1244.6400000000001"/>
        <n v="1152.04"/>
        <n v="504.18"/>
        <n v="1897.77"/>
        <n v="1584.46"/>
        <n v="315.58"/>
        <n v="1868.77"/>
        <n v="1951.07"/>
        <n v="1992.27"/>
        <n v="206.16"/>
        <n v="1500.37"/>
        <n v="1137.24"/>
        <n v="1441.08"/>
        <n v="1940.44"/>
        <n v="1407.26"/>
        <n v="1690.23"/>
        <n v="1747.05"/>
        <n v="1693.11"/>
        <n v="909.57"/>
        <n v="522.9"/>
        <n v="853.64"/>
        <n v="1794.6"/>
        <n v="378.55"/>
        <n v="1075.32"/>
        <n v="543.13"/>
        <n v="1204.48"/>
        <n v="1739.96"/>
        <n v="1772.68"/>
        <n v="549.70000000000005"/>
        <n v="1824.62"/>
        <n v="1224.5899999999999"/>
        <n v="765.41"/>
        <n v="1445.54"/>
        <n v="1015.17"/>
        <n v="818.18"/>
        <n v="1439.66"/>
        <n v="572.58000000000004"/>
        <n v="727.48"/>
        <n v="925.46"/>
        <n v="582"/>
        <n v="869.88"/>
        <n v="1185.8"/>
        <n v="1507.85"/>
        <n v="1557.67"/>
        <n v="1663.3"/>
        <n v="1514"/>
        <n v="1393.97"/>
      </sharedItems>
    </cacheField>
    <cacheField name="QUANTITY" numFmtId="0">
      <sharedItems containsSemiMixedTypes="0" containsString="0" containsNumber="1" containsInteger="1" minValue="1" maxValue="9"/>
    </cacheField>
    <cacheField name="DISCOUNT" numFmtId="4">
      <sharedItems containsSemiMixedTypes="0" containsString="0" containsNumber="1" minValue="0" maxValue="0.3" count="31">
        <n v="0.25"/>
        <n v="0.27"/>
        <n v="0.19"/>
        <n v="0.16"/>
        <n v="0.13"/>
        <n v="0.17"/>
        <n v="0.11"/>
        <n v="0.12"/>
        <n v="0.02"/>
        <n v="7.0000000000000007E-2"/>
        <n v="0.1"/>
        <n v="0.22"/>
        <n v="0.21"/>
        <n v="0.05"/>
        <n v="0.26"/>
        <n v="0.15"/>
        <n v="0.3"/>
        <n v="0.23"/>
        <n v="0.04"/>
        <n v="0.06"/>
        <n v="0.03"/>
        <n v="0.14000000000000001"/>
        <n v="0.18"/>
        <n v="0"/>
        <n v="0.28999999999999998"/>
        <n v="0.09"/>
        <n v="0.08"/>
        <n v="0.28000000000000003"/>
        <n v="0.24"/>
        <n v="0.01"/>
        <n v="0.2"/>
      </sharedItems>
    </cacheField>
    <cacheField name="PROFIT" numFmtId="166">
      <sharedItems containsSemiMixedTypes="0" containsString="0" containsNumber="1" minValue="28.63" maxValue="365.46" count="98">
        <n v="177.54"/>
        <n v="188.59"/>
        <n v="77.069999999999993"/>
        <n v="100.66"/>
        <n v="85.3"/>
        <n v="130.91"/>
        <n v="29.91"/>
        <n v="216.61"/>
        <n v="119.95"/>
        <n v="254.7"/>
        <n v="149.46"/>
        <n v="226.29"/>
        <n v="125.53"/>
        <n v="103.46"/>
        <n v="157.02000000000001"/>
        <n v="216.09"/>
        <n v="139.76"/>
        <n v="268.60000000000002"/>
        <n v="28.63"/>
        <n v="134.66999999999999"/>
        <n v="310.68"/>
        <n v="154.25"/>
        <n v="134.51"/>
        <n v="180.04"/>
        <n v="177.58"/>
        <n v="276.24"/>
        <n v="62.19"/>
        <n v="87.72"/>
        <n v="197.47"/>
        <n v="259.83999999999997"/>
        <n v="218.7"/>
        <n v="89.76"/>
        <n v="239.19"/>
        <n v="250.08"/>
        <n v="87.51"/>
        <n v="134.21"/>
        <n v="180.9"/>
        <n v="171.28"/>
        <n v="142.79"/>
        <n v="98.96"/>
        <n v="56"/>
        <n v="31.93"/>
        <n v="307.93"/>
        <n v="260.8"/>
        <n v="122.61"/>
        <n v="277.77"/>
        <n v="190.01"/>
        <n v="176.71"/>
        <n v="186.19"/>
        <n v="43.39"/>
        <n v="48.19"/>
        <n v="197.09"/>
        <n v="162.4"/>
        <n v="93.47"/>
        <n v="355.48"/>
        <n v="281.49"/>
        <n v="47.53"/>
        <n v="295.92"/>
        <n v="365.46"/>
        <n v="277"/>
        <n v="30.26"/>
        <n v="286.83"/>
        <n v="175.69"/>
        <n v="214.28"/>
        <n v="333.49"/>
        <n v="266.32"/>
        <n v="319.87"/>
        <n v="327.25"/>
        <n v="245.21"/>
        <n v="128.22"/>
        <n v="96.94"/>
        <n v="153.30000000000001"/>
        <n v="329.22"/>
        <n v="68.709999999999994"/>
        <n v="155.74"/>
        <n v="94.39"/>
        <n v="211.66"/>
        <n v="312.48"/>
        <n v="280.7"/>
        <n v="94.47"/>
        <n v="274.83"/>
        <n v="222.29"/>
        <n v="112.33"/>
        <n v="228.9"/>
        <n v="190.16"/>
        <n v="139.04"/>
        <n v="205.73"/>
        <n v="79.61"/>
        <n v="120.81"/>
        <n v="153.69"/>
        <n v="80.92"/>
        <n v="137.74"/>
        <n v="226.7"/>
        <n v="212.56"/>
        <n v="279.74"/>
        <n v="266.58999999999997"/>
        <n v="277.75"/>
        <n v="266.49"/>
      </sharedItems>
    </cacheField>
    <cacheField name="CUSTOMER TYPE" numFmtId="0">
      <sharedItems count="1">
        <s v="B2C"/>
      </sharedItems>
    </cacheField>
    <cacheField name="Months" numFmtId="0" databaseField="0">
      <fieldGroup base="1">
        <rangePr groupBy="months" startDate="2023-01-01T00:00:00" endDate="2023-04-09T00:00:00"/>
        <groupItems count="14">
          <s v="&lt;01-01-2023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09-04-2023"/>
        </groupItems>
      </fieldGroup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8">
  <r>
    <n v="1001"/>
    <x v="0"/>
    <x v="0"/>
    <x v="0"/>
    <x v="0"/>
    <x v="0"/>
    <n v="1"/>
    <x v="0"/>
    <x v="0"/>
    <x v="0"/>
  </r>
  <r>
    <n v="1002"/>
    <x v="1"/>
    <x v="1"/>
    <x v="1"/>
    <x v="1"/>
    <x v="1"/>
    <n v="3"/>
    <x v="1"/>
    <x v="1"/>
    <x v="0"/>
  </r>
  <r>
    <n v="1003"/>
    <x v="2"/>
    <x v="2"/>
    <x v="2"/>
    <x v="1"/>
    <x v="2"/>
    <n v="2"/>
    <x v="2"/>
    <x v="2"/>
    <x v="0"/>
  </r>
  <r>
    <n v="1004"/>
    <x v="3"/>
    <x v="0"/>
    <x v="1"/>
    <x v="1"/>
    <x v="3"/>
    <n v="4"/>
    <x v="3"/>
    <x v="3"/>
    <x v="0"/>
  </r>
  <r>
    <n v="1005"/>
    <x v="4"/>
    <x v="0"/>
    <x v="2"/>
    <x v="0"/>
    <x v="4"/>
    <n v="9"/>
    <x v="4"/>
    <x v="4"/>
    <x v="0"/>
  </r>
  <r>
    <n v="1006"/>
    <x v="5"/>
    <x v="1"/>
    <x v="2"/>
    <x v="0"/>
    <x v="5"/>
    <n v="6"/>
    <x v="5"/>
    <x v="5"/>
    <x v="0"/>
  </r>
  <r>
    <n v="1007"/>
    <x v="6"/>
    <x v="2"/>
    <x v="3"/>
    <x v="1"/>
    <x v="6"/>
    <n v="1"/>
    <x v="6"/>
    <x v="6"/>
    <x v="0"/>
  </r>
  <r>
    <n v="1008"/>
    <x v="7"/>
    <x v="2"/>
    <x v="2"/>
    <x v="1"/>
    <x v="7"/>
    <n v="8"/>
    <x v="7"/>
    <x v="7"/>
    <x v="0"/>
  </r>
  <r>
    <n v="1009"/>
    <x v="8"/>
    <x v="0"/>
    <x v="1"/>
    <x v="0"/>
    <x v="8"/>
    <n v="7"/>
    <x v="3"/>
    <x v="8"/>
    <x v="0"/>
  </r>
  <r>
    <n v="1010"/>
    <x v="9"/>
    <x v="3"/>
    <x v="2"/>
    <x v="1"/>
    <x v="9"/>
    <n v="3"/>
    <x v="8"/>
    <x v="9"/>
    <x v="0"/>
  </r>
  <r>
    <n v="1011"/>
    <x v="10"/>
    <x v="0"/>
    <x v="3"/>
    <x v="0"/>
    <x v="10"/>
    <n v="1"/>
    <x v="9"/>
    <x v="10"/>
    <x v="0"/>
  </r>
  <r>
    <n v="1012"/>
    <x v="11"/>
    <x v="0"/>
    <x v="3"/>
    <x v="1"/>
    <x v="11"/>
    <n v="5"/>
    <x v="3"/>
    <x v="11"/>
    <x v="0"/>
  </r>
  <r>
    <n v="1013"/>
    <x v="12"/>
    <x v="0"/>
    <x v="1"/>
    <x v="0"/>
    <x v="12"/>
    <n v="4"/>
    <x v="4"/>
    <x v="12"/>
    <x v="0"/>
  </r>
  <r>
    <n v="1014"/>
    <x v="13"/>
    <x v="0"/>
    <x v="4"/>
    <x v="1"/>
    <x v="13"/>
    <n v="8"/>
    <x v="10"/>
    <x v="13"/>
    <x v="0"/>
  </r>
  <r>
    <n v="1015"/>
    <x v="14"/>
    <x v="1"/>
    <x v="4"/>
    <x v="0"/>
    <x v="14"/>
    <n v="1"/>
    <x v="11"/>
    <x v="14"/>
    <x v="0"/>
  </r>
  <r>
    <n v="1016"/>
    <x v="15"/>
    <x v="2"/>
    <x v="2"/>
    <x v="1"/>
    <x v="15"/>
    <n v="1"/>
    <x v="12"/>
    <x v="15"/>
    <x v="0"/>
  </r>
  <r>
    <n v="1017"/>
    <x v="16"/>
    <x v="1"/>
    <x v="0"/>
    <x v="0"/>
    <x v="16"/>
    <n v="4"/>
    <x v="13"/>
    <x v="16"/>
    <x v="0"/>
  </r>
  <r>
    <n v="1018"/>
    <x v="17"/>
    <x v="1"/>
    <x v="2"/>
    <x v="0"/>
    <x v="17"/>
    <n v="8"/>
    <x v="14"/>
    <x v="17"/>
    <x v="0"/>
  </r>
  <r>
    <n v="1019"/>
    <x v="18"/>
    <x v="1"/>
    <x v="1"/>
    <x v="1"/>
    <x v="18"/>
    <n v="5"/>
    <x v="15"/>
    <x v="18"/>
    <x v="0"/>
  </r>
  <r>
    <n v="1020"/>
    <x v="19"/>
    <x v="0"/>
    <x v="1"/>
    <x v="1"/>
    <x v="19"/>
    <n v="2"/>
    <x v="11"/>
    <x v="19"/>
    <x v="0"/>
  </r>
  <r>
    <n v="1021"/>
    <x v="20"/>
    <x v="3"/>
    <x v="1"/>
    <x v="0"/>
    <x v="20"/>
    <n v="6"/>
    <x v="5"/>
    <x v="20"/>
    <x v="0"/>
  </r>
  <r>
    <n v="1022"/>
    <x v="21"/>
    <x v="2"/>
    <x v="1"/>
    <x v="1"/>
    <x v="21"/>
    <n v="5"/>
    <x v="16"/>
    <x v="21"/>
    <x v="0"/>
  </r>
  <r>
    <n v="1023"/>
    <x v="22"/>
    <x v="3"/>
    <x v="1"/>
    <x v="0"/>
    <x v="22"/>
    <n v="2"/>
    <x v="17"/>
    <x v="22"/>
    <x v="0"/>
  </r>
  <r>
    <n v="1024"/>
    <x v="23"/>
    <x v="1"/>
    <x v="3"/>
    <x v="1"/>
    <x v="23"/>
    <n v="3"/>
    <x v="12"/>
    <x v="23"/>
    <x v="0"/>
  </r>
  <r>
    <n v="1025"/>
    <x v="24"/>
    <x v="1"/>
    <x v="4"/>
    <x v="0"/>
    <x v="24"/>
    <n v="9"/>
    <x v="17"/>
    <x v="24"/>
    <x v="0"/>
  </r>
  <r>
    <n v="1026"/>
    <x v="25"/>
    <x v="3"/>
    <x v="1"/>
    <x v="0"/>
    <x v="25"/>
    <n v="7"/>
    <x v="18"/>
    <x v="25"/>
    <x v="0"/>
  </r>
  <r>
    <n v="1027"/>
    <x v="26"/>
    <x v="3"/>
    <x v="0"/>
    <x v="0"/>
    <x v="26"/>
    <n v="7"/>
    <x v="19"/>
    <x v="26"/>
    <x v="0"/>
  </r>
  <r>
    <n v="1028"/>
    <x v="27"/>
    <x v="3"/>
    <x v="0"/>
    <x v="0"/>
    <x v="27"/>
    <n v="6"/>
    <x v="12"/>
    <x v="27"/>
    <x v="0"/>
  </r>
  <r>
    <n v="1029"/>
    <x v="28"/>
    <x v="1"/>
    <x v="0"/>
    <x v="0"/>
    <x v="28"/>
    <n v="8"/>
    <x v="15"/>
    <x v="28"/>
    <x v="0"/>
  </r>
  <r>
    <n v="1030"/>
    <x v="29"/>
    <x v="1"/>
    <x v="0"/>
    <x v="0"/>
    <x v="29"/>
    <n v="4"/>
    <x v="17"/>
    <x v="29"/>
    <x v="0"/>
  </r>
  <r>
    <n v="1031"/>
    <x v="30"/>
    <x v="2"/>
    <x v="3"/>
    <x v="1"/>
    <x v="30"/>
    <n v="8"/>
    <x v="20"/>
    <x v="30"/>
    <x v="0"/>
  </r>
  <r>
    <n v="1032"/>
    <x v="31"/>
    <x v="2"/>
    <x v="0"/>
    <x v="1"/>
    <x v="31"/>
    <n v="4"/>
    <x v="3"/>
    <x v="31"/>
    <x v="0"/>
  </r>
  <r>
    <n v="1033"/>
    <x v="32"/>
    <x v="1"/>
    <x v="1"/>
    <x v="1"/>
    <x v="32"/>
    <n v="8"/>
    <x v="6"/>
    <x v="32"/>
    <x v="0"/>
  </r>
  <r>
    <n v="1034"/>
    <x v="33"/>
    <x v="3"/>
    <x v="2"/>
    <x v="0"/>
    <x v="33"/>
    <n v="9"/>
    <x v="21"/>
    <x v="33"/>
    <x v="0"/>
  </r>
  <r>
    <n v="1035"/>
    <x v="34"/>
    <x v="3"/>
    <x v="0"/>
    <x v="0"/>
    <x v="34"/>
    <n v="3"/>
    <x v="22"/>
    <x v="34"/>
    <x v="0"/>
  </r>
  <r>
    <n v="1036"/>
    <x v="35"/>
    <x v="2"/>
    <x v="3"/>
    <x v="0"/>
    <x v="35"/>
    <n v="3"/>
    <x v="15"/>
    <x v="35"/>
    <x v="0"/>
  </r>
  <r>
    <n v="1037"/>
    <x v="36"/>
    <x v="1"/>
    <x v="3"/>
    <x v="0"/>
    <x v="36"/>
    <n v="2"/>
    <x v="3"/>
    <x v="36"/>
    <x v="0"/>
  </r>
  <r>
    <n v="1038"/>
    <x v="37"/>
    <x v="2"/>
    <x v="0"/>
    <x v="1"/>
    <x v="37"/>
    <n v="3"/>
    <x v="15"/>
    <x v="37"/>
    <x v="0"/>
  </r>
  <r>
    <n v="1039"/>
    <x v="38"/>
    <x v="2"/>
    <x v="2"/>
    <x v="1"/>
    <x v="38"/>
    <n v="3"/>
    <x v="7"/>
    <x v="38"/>
    <x v="0"/>
  </r>
  <r>
    <n v="1040"/>
    <x v="39"/>
    <x v="0"/>
    <x v="0"/>
    <x v="0"/>
    <x v="39"/>
    <n v="5"/>
    <x v="17"/>
    <x v="39"/>
    <x v="0"/>
  </r>
  <r>
    <n v="1041"/>
    <x v="40"/>
    <x v="0"/>
    <x v="3"/>
    <x v="1"/>
    <x v="40"/>
    <n v="5"/>
    <x v="23"/>
    <x v="40"/>
    <x v="0"/>
  </r>
  <r>
    <n v="1042"/>
    <x v="41"/>
    <x v="0"/>
    <x v="4"/>
    <x v="1"/>
    <x v="41"/>
    <n v="2"/>
    <x v="22"/>
    <x v="41"/>
    <x v="0"/>
  </r>
  <r>
    <n v="1043"/>
    <x v="42"/>
    <x v="3"/>
    <x v="1"/>
    <x v="0"/>
    <x v="42"/>
    <n v="6"/>
    <x v="5"/>
    <x v="42"/>
    <x v="0"/>
  </r>
  <r>
    <n v="1044"/>
    <x v="43"/>
    <x v="1"/>
    <x v="3"/>
    <x v="1"/>
    <x v="43"/>
    <n v="5"/>
    <x v="12"/>
    <x v="43"/>
    <x v="0"/>
  </r>
  <r>
    <n v="1045"/>
    <x v="44"/>
    <x v="1"/>
    <x v="0"/>
    <x v="0"/>
    <x v="44"/>
    <n v="6"/>
    <x v="22"/>
    <x v="44"/>
    <x v="0"/>
  </r>
  <r>
    <n v="1046"/>
    <x v="45"/>
    <x v="1"/>
    <x v="1"/>
    <x v="1"/>
    <x v="45"/>
    <n v="1"/>
    <x v="0"/>
    <x v="45"/>
    <x v="0"/>
  </r>
  <r>
    <n v="1047"/>
    <x v="46"/>
    <x v="1"/>
    <x v="0"/>
    <x v="0"/>
    <x v="46"/>
    <n v="5"/>
    <x v="24"/>
    <x v="46"/>
    <x v="0"/>
  </r>
  <r>
    <n v="1048"/>
    <x v="47"/>
    <x v="0"/>
    <x v="0"/>
    <x v="0"/>
    <x v="47"/>
    <n v="9"/>
    <x v="10"/>
    <x v="47"/>
    <x v="0"/>
  </r>
  <r>
    <n v="1049"/>
    <x v="48"/>
    <x v="3"/>
    <x v="4"/>
    <x v="0"/>
    <x v="48"/>
    <n v="2"/>
    <x v="9"/>
    <x v="48"/>
    <x v="0"/>
  </r>
  <r>
    <n v="1050"/>
    <x v="49"/>
    <x v="3"/>
    <x v="1"/>
    <x v="0"/>
    <x v="49"/>
    <n v="1"/>
    <x v="4"/>
    <x v="49"/>
    <x v="0"/>
  </r>
  <r>
    <n v="1051"/>
    <x v="50"/>
    <x v="0"/>
    <x v="1"/>
    <x v="1"/>
    <x v="50"/>
    <n v="9"/>
    <x v="25"/>
    <x v="50"/>
    <x v="0"/>
  </r>
  <r>
    <n v="1052"/>
    <x v="51"/>
    <x v="3"/>
    <x v="4"/>
    <x v="0"/>
    <x v="51"/>
    <n v="9"/>
    <x v="22"/>
    <x v="51"/>
    <x v="0"/>
  </r>
  <r>
    <n v="1053"/>
    <x v="52"/>
    <x v="0"/>
    <x v="3"/>
    <x v="0"/>
    <x v="52"/>
    <n v="9"/>
    <x v="1"/>
    <x v="52"/>
    <x v="0"/>
  </r>
  <r>
    <n v="1054"/>
    <x v="53"/>
    <x v="1"/>
    <x v="0"/>
    <x v="0"/>
    <x v="53"/>
    <n v="6"/>
    <x v="18"/>
    <x v="53"/>
    <x v="0"/>
  </r>
  <r>
    <n v="1055"/>
    <x v="54"/>
    <x v="0"/>
    <x v="2"/>
    <x v="1"/>
    <x v="54"/>
    <n v="8"/>
    <x v="20"/>
    <x v="54"/>
    <x v="0"/>
  </r>
  <r>
    <n v="1056"/>
    <x v="55"/>
    <x v="1"/>
    <x v="0"/>
    <x v="0"/>
    <x v="55"/>
    <n v="1"/>
    <x v="26"/>
    <x v="55"/>
    <x v="0"/>
  </r>
  <r>
    <n v="1057"/>
    <x v="56"/>
    <x v="1"/>
    <x v="0"/>
    <x v="1"/>
    <x v="56"/>
    <n v="4"/>
    <x v="11"/>
    <x v="56"/>
    <x v="0"/>
  </r>
  <r>
    <n v="1058"/>
    <x v="57"/>
    <x v="2"/>
    <x v="3"/>
    <x v="0"/>
    <x v="57"/>
    <n v="1"/>
    <x v="22"/>
    <x v="57"/>
    <x v="0"/>
  </r>
  <r>
    <n v="1059"/>
    <x v="58"/>
    <x v="0"/>
    <x v="0"/>
    <x v="1"/>
    <x v="58"/>
    <n v="8"/>
    <x v="20"/>
    <x v="58"/>
    <x v="0"/>
  </r>
  <r>
    <n v="1060"/>
    <x v="59"/>
    <x v="2"/>
    <x v="4"/>
    <x v="1"/>
    <x v="59"/>
    <n v="1"/>
    <x v="27"/>
    <x v="59"/>
    <x v="0"/>
  </r>
  <r>
    <n v="1061"/>
    <x v="60"/>
    <x v="0"/>
    <x v="4"/>
    <x v="0"/>
    <x v="60"/>
    <n v="3"/>
    <x v="28"/>
    <x v="60"/>
    <x v="0"/>
  </r>
  <r>
    <n v="1062"/>
    <x v="61"/>
    <x v="0"/>
    <x v="1"/>
    <x v="1"/>
    <x v="61"/>
    <n v="4"/>
    <x v="29"/>
    <x v="61"/>
    <x v="0"/>
  </r>
  <r>
    <n v="1063"/>
    <x v="62"/>
    <x v="2"/>
    <x v="2"/>
    <x v="0"/>
    <x v="62"/>
    <n v="8"/>
    <x v="30"/>
    <x v="62"/>
    <x v="0"/>
  </r>
  <r>
    <n v="1064"/>
    <x v="63"/>
    <x v="2"/>
    <x v="0"/>
    <x v="0"/>
    <x v="63"/>
    <n v="6"/>
    <x v="17"/>
    <x v="63"/>
    <x v="0"/>
  </r>
  <r>
    <n v="1065"/>
    <x v="64"/>
    <x v="0"/>
    <x v="0"/>
    <x v="0"/>
    <x v="64"/>
    <n v="7"/>
    <x v="6"/>
    <x v="64"/>
    <x v="0"/>
  </r>
  <r>
    <n v="1066"/>
    <x v="65"/>
    <x v="3"/>
    <x v="3"/>
    <x v="1"/>
    <x v="65"/>
    <n v="8"/>
    <x v="8"/>
    <x v="65"/>
    <x v="0"/>
  </r>
  <r>
    <n v="1067"/>
    <x v="66"/>
    <x v="1"/>
    <x v="4"/>
    <x v="1"/>
    <x v="66"/>
    <n v="2"/>
    <x v="8"/>
    <x v="66"/>
    <x v="0"/>
  </r>
  <r>
    <n v="1068"/>
    <x v="67"/>
    <x v="2"/>
    <x v="2"/>
    <x v="0"/>
    <x v="67"/>
    <n v="8"/>
    <x v="20"/>
    <x v="67"/>
    <x v="0"/>
  </r>
  <r>
    <n v="1069"/>
    <x v="68"/>
    <x v="1"/>
    <x v="1"/>
    <x v="0"/>
    <x v="68"/>
    <n v="3"/>
    <x v="0"/>
    <x v="68"/>
    <x v="0"/>
  </r>
  <r>
    <n v="1070"/>
    <x v="69"/>
    <x v="3"/>
    <x v="4"/>
    <x v="1"/>
    <x v="69"/>
    <n v="7"/>
    <x v="1"/>
    <x v="69"/>
    <x v="0"/>
  </r>
  <r>
    <n v="1071"/>
    <x v="70"/>
    <x v="3"/>
    <x v="1"/>
    <x v="0"/>
    <x v="70"/>
    <n v="3"/>
    <x v="18"/>
    <x v="70"/>
    <x v="0"/>
  </r>
  <r>
    <n v="1072"/>
    <x v="71"/>
    <x v="3"/>
    <x v="3"/>
    <x v="0"/>
    <x v="71"/>
    <n v="7"/>
    <x v="9"/>
    <x v="71"/>
    <x v="0"/>
  </r>
  <r>
    <n v="1073"/>
    <x v="72"/>
    <x v="2"/>
    <x v="3"/>
    <x v="0"/>
    <x v="72"/>
    <n v="2"/>
    <x v="13"/>
    <x v="72"/>
    <x v="0"/>
  </r>
  <r>
    <n v="1074"/>
    <x v="73"/>
    <x v="3"/>
    <x v="0"/>
    <x v="1"/>
    <x v="73"/>
    <n v="6"/>
    <x v="19"/>
    <x v="73"/>
    <x v="0"/>
  </r>
  <r>
    <n v="1075"/>
    <x v="74"/>
    <x v="2"/>
    <x v="2"/>
    <x v="1"/>
    <x v="74"/>
    <n v="3"/>
    <x v="0"/>
    <x v="74"/>
    <x v="0"/>
  </r>
  <r>
    <n v="1076"/>
    <x v="75"/>
    <x v="3"/>
    <x v="1"/>
    <x v="1"/>
    <x v="75"/>
    <n v="3"/>
    <x v="10"/>
    <x v="75"/>
    <x v="0"/>
  </r>
  <r>
    <n v="1077"/>
    <x v="76"/>
    <x v="1"/>
    <x v="4"/>
    <x v="0"/>
    <x v="76"/>
    <n v="9"/>
    <x v="25"/>
    <x v="76"/>
    <x v="0"/>
  </r>
  <r>
    <n v="1078"/>
    <x v="77"/>
    <x v="1"/>
    <x v="3"/>
    <x v="0"/>
    <x v="77"/>
    <n v="7"/>
    <x v="9"/>
    <x v="77"/>
    <x v="0"/>
  </r>
  <r>
    <n v="1079"/>
    <x v="78"/>
    <x v="0"/>
    <x v="0"/>
    <x v="0"/>
    <x v="78"/>
    <n v="5"/>
    <x v="22"/>
    <x v="78"/>
    <x v="0"/>
  </r>
  <r>
    <n v="1080"/>
    <x v="79"/>
    <x v="1"/>
    <x v="0"/>
    <x v="1"/>
    <x v="79"/>
    <n v="7"/>
    <x v="6"/>
    <x v="79"/>
    <x v="0"/>
  </r>
  <r>
    <n v="1081"/>
    <x v="80"/>
    <x v="0"/>
    <x v="1"/>
    <x v="0"/>
    <x v="80"/>
    <n v="9"/>
    <x v="11"/>
    <x v="80"/>
    <x v="0"/>
  </r>
  <r>
    <n v="1082"/>
    <x v="81"/>
    <x v="1"/>
    <x v="3"/>
    <x v="0"/>
    <x v="81"/>
    <n v="1"/>
    <x v="19"/>
    <x v="81"/>
    <x v="0"/>
  </r>
  <r>
    <n v="1083"/>
    <x v="82"/>
    <x v="2"/>
    <x v="2"/>
    <x v="0"/>
    <x v="82"/>
    <n v="7"/>
    <x v="28"/>
    <x v="82"/>
    <x v="0"/>
  </r>
  <r>
    <n v="1084"/>
    <x v="83"/>
    <x v="1"/>
    <x v="3"/>
    <x v="0"/>
    <x v="83"/>
    <n v="6"/>
    <x v="22"/>
    <x v="83"/>
    <x v="0"/>
  </r>
  <r>
    <n v="1085"/>
    <x v="84"/>
    <x v="0"/>
    <x v="1"/>
    <x v="1"/>
    <x v="84"/>
    <n v="9"/>
    <x v="20"/>
    <x v="84"/>
    <x v="0"/>
  </r>
  <r>
    <n v="1086"/>
    <x v="85"/>
    <x v="0"/>
    <x v="1"/>
    <x v="1"/>
    <x v="85"/>
    <n v="1"/>
    <x v="7"/>
    <x v="85"/>
    <x v="0"/>
  </r>
  <r>
    <n v="1087"/>
    <x v="86"/>
    <x v="3"/>
    <x v="3"/>
    <x v="0"/>
    <x v="86"/>
    <n v="4"/>
    <x v="14"/>
    <x v="86"/>
    <x v="0"/>
  </r>
  <r>
    <n v="1088"/>
    <x v="87"/>
    <x v="2"/>
    <x v="1"/>
    <x v="1"/>
    <x v="87"/>
    <n v="9"/>
    <x v="27"/>
    <x v="87"/>
    <x v="0"/>
  </r>
  <r>
    <n v="1089"/>
    <x v="88"/>
    <x v="1"/>
    <x v="3"/>
    <x v="1"/>
    <x v="88"/>
    <n v="4"/>
    <x v="21"/>
    <x v="88"/>
    <x v="0"/>
  </r>
  <r>
    <n v="1090"/>
    <x v="89"/>
    <x v="3"/>
    <x v="4"/>
    <x v="0"/>
    <x v="89"/>
    <n v="3"/>
    <x v="21"/>
    <x v="89"/>
    <x v="0"/>
  </r>
  <r>
    <n v="1091"/>
    <x v="90"/>
    <x v="1"/>
    <x v="3"/>
    <x v="0"/>
    <x v="90"/>
    <n v="9"/>
    <x v="27"/>
    <x v="90"/>
    <x v="0"/>
  </r>
  <r>
    <n v="1092"/>
    <x v="91"/>
    <x v="1"/>
    <x v="3"/>
    <x v="1"/>
    <x v="91"/>
    <n v="2"/>
    <x v="22"/>
    <x v="91"/>
    <x v="0"/>
  </r>
  <r>
    <n v="1093"/>
    <x v="92"/>
    <x v="3"/>
    <x v="1"/>
    <x v="0"/>
    <x v="92"/>
    <n v="4"/>
    <x v="29"/>
    <x v="92"/>
    <x v="0"/>
  </r>
  <r>
    <n v="1094"/>
    <x v="93"/>
    <x v="3"/>
    <x v="1"/>
    <x v="1"/>
    <x v="93"/>
    <n v="6"/>
    <x v="1"/>
    <x v="93"/>
    <x v="0"/>
  </r>
  <r>
    <n v="1095"/>
    <x v="94"/>
    <x v="3"/>
    <x v="0"/>
    <x v="0"/>
    <x v="94"/>
    <n v="2"/>
    <x v="9"/>
    <x v="94"/>
    <x v="0"/>
  </r>
  <r>
    <n v="1096"/>
    <x v="95"/>
    <x v="3"/>
    <x v="0"/>
    <x v="1"/>
    <x v="95"/>
    <n v="8"/>
    <x v="5"/>
    <x v="95"/>
    <x v="0"/>
  </r>
  <r>
    <n v="1097"/>
    <x v="96"/>
    <x v="3"/>
    <x v="4"/>
    <x v="0"/>
    <x v="96"/>
    <n v="8"/>
    <x v="13"/>
    <x v="96"/>
    <x v="0"/>
  </r>
  <r>
    <n v="1098"/>
    <x v="97"/>
    <x v="1"/>
    <x v="0"/>
    <x v="1"/>
    <x v="97"/>
    <n v="1"/>
    <x v="29"/>
    <x v="9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0" rowHeaderCaption="REGION">
  <location ref="A3:B8" firstHeaderRow="1" firstDataRow="1" firstDataCol="1"/>
  <pivotFields count="11"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descending">
      <items count="5">
        <item x="0"/>
        <item x="2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165" showAll="0"/>
    <pivotField showAll="0"/>
    <pivotField numFmtId="4" showAll="0"/>
    <pivotField numFmtId="166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SALE" fld="5" baseField="0" baseItem="0"/>
  </dataFields>
  <chartFormats count="2"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1" rowHeaderCaption="REGION">
  <location ref="A3:B8" firstHeaderRow="1" firstDataRow="1" firstDataCol="1"/>
  <pivotFields count="11"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 sortType="descending">
      <items count="5">
        <item x="0"/>
        <item x="2"/>
        <item x="3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6">
        <item x="0"/>
        <item x="2"/>
        <item x="1"/>
        <item x="3"/>
        <item x="4"/>
        <item t="default"/>
      </items>
    </pivotField>
    <pivotField showAll="0"/>
    <pivotField numFmtId="165" showAll="0"/>
    <pivotField showAll="0"/>
    <pivotField numFmtId="4" showAll="0"/>
    <pivotField dataField="1" numFmtId="166" showAll="0"/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5">
    <i>
      <x v="3"/>
    </i>
    <i>
      <x v="2"/>
    </i>
    <i>
      <x/>
    </i>
    <i>
      <x v="1"/>
    </i>
    <i t="grand">
      <x/>
    </i>
  </rowItems>
  <colItems count="1">
    <i/>
  </colItems>
  <dataFields count="1">
    <dataField name="PROFITS" fld="8" baseField="0" baseItem="0"/>
  </dataFields>
  <chartFormats count="2">
    <chartFormat chart="18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 rowHeaderCaption="DISCOUNT">
  <location ref="A3:B35" firstHeaderRow="1" firstDataRow="1" firstDataCol="1"/>
  <pivotFields count="11"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numFmtId="165" showAll="0"/>
    <pivotField showAll="0"/>
    <pivotField axis="axisRow" numFmtId="4" showAll="0" sortType="descending">
      <items count="32">
        <item x="23"/>
        <item x="29"/>
        <item x="8"/>
        <item x="20"/>
        <item x="18"/>
        <item x="13"/>
        <item x="19"/>
        <item x="9"/>
        <item x="26"/>
        <item x="25"/>
        <item x="10"/>
        <item x="6"/>
        <item x="7"/>
        <item x="4"/>
        <item x="21"/>
        <item x="15"/>
        <item x="3"/>
        <item x="5"/>
        <item x="22"/>
        <item x="2"/>
        <item x="30"/>
        <item x="12"/>
        <item x="11"/>
        <item x="17"/>
        <item x="28"/>
        <item x="0"/>
        <item x="14"/>
        <item x="1"/>
        <item x="27"/>
        <item x="24"/>
        <item x="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166" showAll="0">
      <items count="99">
        <item x="18"/>
        <item x="6"/>
        <item x="60"/>
        <item x="41"/>
        <item x="49"/>
        <item x="56"/>
        <item x="50"/>
        <item x="40"/>
        <item x="26"/>
        <item x="73"/>
        <item x="2"/>
        <item x="87"/>
        <item x="90"/>
        <item x="4"/>
        <item x="34"/>
        <item x="27"/>
        <item x="31"/>
        <item x="53"/>
        <item x="75"/>
        <item x="79"/>
        <item x="70"/>
        <item x="39"/>
        <item x="3"/>
        <item x="13"/>
        <item x="82"/>
        <item x="8"/>
        <item x="88"/>
        <item x="44"/>
        <item x="12"/>
        <item x="69"/>
        <item x="5"/>
        <item x="35"/>
        <item x="22"/>
        <item x="19"/>
        <item x="91"/>
        <item x="85"/>
        <item x="16"/>
        <item x="38"/>
        <item x="10"/>
        <item x="71"/>
        <item x="89"/>
        <item x="21"/>
        <item x="74"/>
        <item x="14"/>
        <item x="52"/>
        <item x="37"/>
        <item x="62"/>
        <item x="47"/>
        <item x="0"/>
        <item x="24"/>
        <item x="23"/>
        <item x="36"/>
        <item x="48"/>
        <item x="1"/>
        <item x="46"/>
        <item x="84"/>
        <item x="51"/>
        <item x="28"/>
        <item x="86"/>
        <item x="76"/>
        <item x="93"/>
        <item x="63"/>
        <item x="15"/>
        <item x="7"/>
        <item x="30"/>
        <item x="81"/>
        <item x="11"/>
        <item x="92"/>
        <item x="83"/>
        <item x="32"/>
        <item x="68"/>
        <item x="33"/>
        <item x="9"/>
        <item x="29"/>
        <item x="43"/>
        <item x="65"/>
        <item x="97"/>
        <item x="95"/>
        <item x="17"/>
        <item x="80"/>
        <item x="25"/>
        <item x="59"/>
        <item x="96"/>
        <item x="45"/>
        <item x="94"/>
        <item x="78"/>
        <item x="55"/>
        <item x="61"/>
        <item x="57"/>
        <item x="42"/>
        <item x="20"/>
        <item x="77"/>
        <item x="66"/>
        <item x="67"/>
        <item x="72"/>
        <item x="64"/>
        <item x="54"/>
        <item x="58"/>
        <item t="default"/>
      </items>
    </pivotField>
    <pivotField showAl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7"/>
  </rowFields>
  <rowItems count="32">
    <i>
      <x v="3"/>
    </i>
    <i>
      <x v="18"/>
    </i>
    <i>
      <x v="7"/>
    </i>
    <i>
      <x v="17"/>
    </i>
    <i>
      <x v="23"/>
    </i>
    <i>
      <x v="25"/>
    </i>
    <i>
      <x v="2"/>
    </i>
    <i>
      <x v="1"/>
    </i>
    <i>
      <x v="5"/>
    </i>
    <i>
      <x v="21"/>
    </i>
    <i>
      <x v="16"/>
    </i>
    <i>
      <x v="11"/>
    </i>
    <i>
      <x v="27"/>
    </i>
    <i>
      <x v="22"/>
    </i>
    <i>
      <x v="15"/>
    </i>
    <i>
      <x v="14"/>
    </i>
    <i>
      <x v="12"/>
    </i>
    <i>
      <x v="26"/>
    </i>
    <i>
      <x v="4"/>
    </i>
    <i>
      <x v="28"/>
    </i>
    <i>
      <x v="10"/>
    </i>
    <i>
      <x v="6"/>
    </i>
    <i>
      <x v="8"/>
    </i>
    <i>
      <x v="9"/>
    </i>
    <i>
      <x v="13"/>
    </i>
    <i>
      <x v="29"/>
    </i>
    <i>
      <x v="20"/>
    </i>
    <i>
      <x v="30"/>
    </i>
    <i>
      <x v="24"/>
    </i>
    <i>
      <x v="19"/>
    </i>
    <i>
      <x/>
    </i>
    <i t="grand">
      <x/>
    </i>
  </rowItems>
  <colItems count="1">
    <i/>
  </colItems>
  <dataFields count="1">
    <dataField name="PROFITS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A3:C6" firstHeaderRow="0" firstDataRow="1" firstDataCol="1"/>
  <pivotFields count="11">
    <pivotField showAll="0"/>
    <pivotField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>
      <items count="3">
        <item x="0"/>
        <item x="1"/>
        <item t="default"/>
      </items>
    </pivotField>
    <pivotField dataField="1" numFmtId="165" showAll="0"/>
    <pivotField showAll="0"/>
    <pivotField numFmtId="4" showAll="0">
      <items count="32">
        <item x="23"/>
        <item x="29"/>
        <item x="8"/>
        <item x="20"/>
        <item x="18"/>
        <item x="13"/>
        <item x="19"/>
        <item x="9"/>
        <item x="26"/>
        <item x="25"/>
        <item x="10"/>
        <item x="6"/>
        <item x="7"/>
        <item x="4"/>
        <item x="21"/>
        <item x="15"/>
        <item x="3"/>
        <item x="5"/>
        <item x="22"/>
        <item x="2"/>
        <item x="30"/>
        <item x="12"/>
        <item x="11"/>
        <item x="17"/>
        <item x="28"/>
        <item x="0"/>
        <item x="14"/>
        <item x="1"/>
        <item x="27"/>
        <item x="24"/>
        <item x="16"/>
        <item t="default"/>
      </items>
    </pivotField>
    <pivotField dataField="1" numFmtId="166" showAll="0"/>
    <pivotField showAll="0">
      <items count="2">
        <item x="0"/>
        <item t="default"/>
      </items>
    </pivotField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" fld="5" baseField="0" baseItem="0"/>
    <dataField name="Sum of PROFI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6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1" rowHeaderCaption="DATE">
  <location ref="A3:B8" firstHeaderRow="1" firstDataRow="1" firstDataCol="1"/>
  <pivotFields count="11">
    <pivotField showAll="0"/>
    <pivotField axis="axisRow" numFmtId="16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dataField="1" numFmtId="165" showAll="0"/>
    <pivotField showAll="0"/>
    <pivotField numFmtId="4" showAll="0"/>
    <pivotField numFmtId="166"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2">
    <field x="10"/>
    <field x="1"/>
  </rowFields>
  <rowItems count="5"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ALE" fld="5" baseField="0" baseItem="0"/>
  </dataFields>
  <chartFormats count="1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2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10" format="13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10" format="14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10" format="15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  <chartFormat chart="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  <chartFormat chart="8" format="9">
      <pivotArea type="data" outline="0" fieldPosition="0">
        <references count="2">
          <reference field="4294967294" count="1" selected="0">
            <x v="0"/>
          </reference>
          <reference field="10" count="1" selected="0">
            <x v="3"/>
          </reference>
        </references>
      </pivotArea>
    </chartFormat>
    <chartFormat chart="8" format="10">
      <pivotArea type="data" outline="0" fieldPosition="0">
        <references count="2">
          <reference field="4294967294" count="1" selected="0">
            <x v="0"/>
          </reference>
          <reference field="1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7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8" rowHeaderCaption="PRODUCT">
  <location ref="A3:B9" firstHeaderRow="1" firstDataRow="1" firstDataCol="1"/>
  <pivotFields count="11">
    <pivotField showAll="0"/>
    <pivotField numFmtId="164" showAll="0"/>
    <pivotField showAll="0"/>
    <pivotField axis="axisRow" showAll="0" measureFilter="1" sortType="descending">
      <items count="6">
        <item x="0"/>
        <item x="2"/>
        <item x="1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numFmtId="165" showAll="0"/>
    <pivotField showAll="0"/>
    <pivotField numFmtId="4" showAll="0"/>
    <pivotField numFmtId="166" showAll="0"/>
    <pivotField showAll="0"/>
    <pivotField showAll="0" defaultSubtotal="0"/>
  </pivotFields>
  <rowFields count="1">
    <field x="3"/>
  </rowFields>
  <rowItems count="6">
    <i>
      <x/>
    </i>
    <i>
      <x v="2"/>
    </i>
    <i>
      <x v="3"/>
    </i>
    <i>
      <x v="1"/>
    </i>
    <i>
      <x v="4"/>
    </i>
    <i t="grand">
      <x/>
    </i>
  </rowItems>
  <colItems count="1">
    <i/>
  </colItems>
  <dataFields count="1">
    <dataField name="SALE" fld="5" baseField="0" baseItem="0"/>
  </dataFields>
  <chartFormats count="8">
    <chartFormat chart="3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2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6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3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6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8" rowHeaderCaption="DISCOUNT">
  <location ref="A3:B35" firstHeaderRow="1" firstDataRow="1" firstDataCol="1"/>
  <pivotFields count="11">
    <pivotField showAll="0"/>
    <pivotField numFmtId="164" showAll="0"/>
    <pivotField showAll="0"/>
    <pivotField showAll="0"/>
    <pivotField showAll="0"/>
    <pivotField numFmtId="165" showAll="0"/>
    <pivotField showAll="0"/>
    <pivotField axis="axisRow" numFmtId="4" showAll="0">
      <items count="32">
        <item x="23"/>
        <item x="29"/>
        <item x="8"/>
        <item x="20"/>
        <item x="18"/>
        <item x="13"/>
        <item x="19"/>
        <item x="9"/>
        <item x="26"/>
        <item x="25"/>
        <item x="10"/>
        <item x="6"/>
        <item x="7"/>
        <item x="4"/>
        <item x="21"/>
        <item x="15"/>
        <item x="3"/>
        <item x="5"/>
        <item x="22"/>
        <item x="2"/>
        <item x="30"/>
        <item x="12"/>
        <item x="11"/>
        <item x="17"/>
        <item x="28"/>
        <item x="0"/>
        <item x="14"/>
        <item x="1"/>
        <item x="27"/>
        <item x="24"/>
        <item x="16"/>
        <item t="default"/>
      </items>
    </pivotField>
    <pivotField dataField="1" numFmtId="166" showAll="0"/>
    <pivotField showAll="0"/>
    <pivotField showAll="0" defaultSubtotal="0"/>
  </pivotFields>
  <rowFields count="1">
    <field x="7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PROFITS" fld="8" baseField="0" baseItem="0"/>
  </dataFields>
  <chartFormats count="1">
    <chartFormat chart="2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1" cacheId="4" dataOnRows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6" rowHeaderCaption="DISCOUNT">
  <location ref="A3:B35" firstHeaderRow="1" firstDataRow="1" firstDataCol="1"/>
  <pivotFields count="11">
    <pivotField showAll="0"/>
    <pivotField numFmtId="164" showAll="0"/>
    <pivotField showAll="0"/>
    <pivotField showAll="0"/>
    <pivotField showAll="0"/>
    <pivotField numFmtId="165" showAll="0"/>
    <pivotField showAll="0"/>
    <pivotField axis="axisRow" numFmtId="4" showAll="0" sortType="descending">
      <items count="32">
        <item x="16"/>
        <item x="24"/>
        <item x="27"/>
        <item x="1"/>
        <item x="14"/>
        <item x="0"/>
        <item x="28"/>
        <item x="17"/>
        <item x="11"/>
        <item x="12"/>
        <item x="30"/>
        <item x="2"/>
        <item x="22"/>
        <item x="5"/>
        <item x="3"/>
        <item x="15"/>
        <item x="21"/>
        <item x="4"/>
        <item x="7"/>
        <item x="6"/>
        <item x="10"/>
        <item x="25"/>
        <item x="26"/>
        <item x="9"/>
        <item x="19"/>
        <item x="13"/>
        <item x="18"/>
        <item x="20"/>
        <item x="8"/>
        <item x="29"/>
        <item x="23"/>
        <item t="default"/>
      </items>
    </pivotField>
    <pivotField dataField="1" numFmtId="166" showAll="0"/>
    <pivotField showAll="0"/>
    <pivotField showAll="0" defaultSubtotal="0"/>
  </pivotFields>
  <rowFields count="1">
    <field x="7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PROFITS" fld="8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9.xml><?xml version="1.0" encoding="utf-8"?>
<pivotTableDefinition xmlns="http://schemas.openxmlformats.org/spreadsheetml/2006/main" name="PivotTable2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12">
  <location ref="A3:B102" firstHeaderRow="1" firstDataRow="1" firstDataCol="1"/>
  <pivotFields count="11">
    <pivotField showAll="0"/>
    <pivotField numFmtId="164" showAll="0"/>
    <pivotField showAll="0"/>
    <pivotField showAll="0"/>
    <pivotField showAll="0"/>
    <pivotField axis="axisRow" numFmtId="165" showAll="0" sortType="descending">
      <items count="99">
        <item x="6"/>
        <item x="18"/>
        <item x="41"/>
        <item x="60"/>
        <item x="49"/>
        <item x="50"/>
        <item x="40"/>
        <item x="56"/>
        <item x="26"/>
        <item x="73"/>
        <item x="2"/>
        <item x="53"/>
        <item x="4"/>
        <item x="70"/>
        <item x="75"/>
        <item x="79"/>
        <item x="34"/>
        <item x="31"/>
        <item x="87"/>
        <item x="27"/>
        <item x="90"/>
        <item x="13"/>
        <item x="3"/>
        <item x="39"/>
        <item x="88"/>
        <item x="8"/>
        <item x="12"/>
        <item x="16"/>
        <item x="82"/>
        <item x="44"/>
        <item x="5"/>
        <item x="35"/>
        <item x="85"/>
        <item x="10"/>
        <item x="38"/>
        <item x="71"/>
        <item x="91"/>
        <item x="19"/>
        <item x="22"/>
        <item x="69"/>
        <item x="89"/>
        <item x="84"/>
        <item x="47"/>
        <item x="48"/>
        <item x="14"/>
        <item x="37"/>
        <item x="74"/>
        <item x="36"/>
        <item x="62"/>
        <item x="21"/>
        <item x="52"/>
        <item x="30"/>
        <item x="23"/>
        <item x="92"/>
        <item x="24"/>
        <item x="28"/>
        <item x="76"/>
        <item x="81"/>
        <item x="51"/>
        <item x="7"/>
        <item x="1"/>
        <item x="9"/>
        <item x="46"/>
        <item x="32"/>
        <item x="97"/>
        <item x="11"/>
        <item x="65"/>
        <item x="15"/>
        <item x="86"/>
        <item x="63"/>
        <item x="83"/>
        <item x="25"/>
        <item x="61"/>
        <item x="33"/>
        <item x="93"/>
        <item x="96"/>
        <item x="94"/>
        <item x="55"/>
        <item x="0"/>
        <item x="95"/>
        <item x="66"/>
        <item x="68"/>
        <item x="43"/>
        <item x="77"/>
        <item x="67"/>
        <item x="29"/>
        <item x="78"/>
        <item x="72"/>
        <item x="80"/>
        <item x="57"/>
        <item x="17"/>
        <item x="54"/>
        <item x="45"/>
        <item x="42"/>
        <item x="20"/>
        <item x="64"/>
        <item x="58"/>
        <item x="5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" showAll="0"/>
    <pivotField dataField="1" numFmtId="166" showAll="0"/>
    <pivotField showAll="0"/>
    <pivotField showAll="0" defaultSubtotal="0"/>
  </pivotFields>
  <rowFields count="1">
    <field x="5"/>
  </rowFields>
  <rowItems count="99">
    <i>
      <x v="96"/>
    </i>
    <i>
      <x v="91"/>
    </i>
    <i>
      <x v="95"/>
    </i>
    <i>
      <x v="87"/>
    </i>
    <i>
      <x v="84"/>
    </i>
    <i>
      <x v="80"/>
    </i>
    <i>
      <x v="83"/>
    </i>
    <i>
      <x v="94"/>
    </i>
    <i>
      <x v="93"/>
    </i>
    <i>
      <x v="89"/>
    </i>
    <i>
      <x v="72"/>
    </i>
    <i>
      <x v="77"/>
    </i>
    <i>
      <x v="86"/>
    </i>
    <i>
      <x v="76"/>
    </i>
    <i>
      <x v="92"/>
    </i>
    <i>
      <x v="75"/>
    </i>
    <i>
      <x v="97"/>
    </i>
    <i>
      <x v="71"/>
    </i>
    <i>
      <x v="88"/>
    </i>
    <i>
      <x v="90"/>
    </i>
    <i>
      <x v="79"/>
    </i>
    <i>
      <x v="64"/>
    </i>
    <i>
      <x v="66"/>
    </i>
    <i>
      <x v="82"/>
    </i>
    <i>
      <x v="85"/>
    </i>
    <i>
      <x v="61"/>
    </i>
    <i>
      <x v="73"/>
    </i>
    <i>
      <x v="81"/>
    </i>
    <i>
      <x v="63"/>
    </i>
    <i>
      <x v="70"/>
    </i>
    <i>
      <x v="53"/>
    </i>
    <i>
      <x v="65"/>
    </i>
    <i>
      <x v="57"/>
    </i>
    <i>
      <x v="51"/>
    </i>
    <i>
      <x v="59"/>
    </i>
    <i>
      <x v="67"/>
    </i>
    <i>
      <x v="69"/>
    </i>
    <i>
      <x v="74"/>
    </i>
    <i>
      <x v="56"/>
    </i>
    <i>
      <x v="68"/>
    </i>
    <i>
      <x v="55"/>
    </i>
    <i>
      <x v="58"/>
    </i>
    <i>
      <x v="41"/>
    </i>
    <i>
      <x v="62"/>
    </i>
    <i>
      <x v="60"/>
    </i>
    <i>
      <x v="43"/>
    </i>
    <i>
      <x v="47"/>
    </i>
    <i>
      <x v="52"/>
    </i>
    <i>
      <x v="54"/>
    </i>
    <i>
      <x v="78"/>
    </i>
    <i>
      <x v="42"/>
    </i>
    <i>
      <x v="48"/>
    </i>
    <i>
      <x v="45"/>
    </i>
    <i>
      <x v="50"/>
    </i>
    <i>
      <x v="44"/>
    </i>
    <i>
      <x v="46"/>
    </i>
    <i>
      <x v="49"/>
    </i>
    <i>
      <x v="40"/>
    </i>
    <i>
      <x v="35"/>
    </i>
    <i>
      <x v="33"/>
    </i>
    <i>
      <x v="34"/>
    </i>
    <i>
      <x v="27"/>
    </i>
    <i>
      <x v="32"/>
    </i>
    <i>
      <x v="36"/>
    </i>
    <i>
      <x v="37"/>
    </i>
    <i>
      <x v="38"/>
    </i>
    <i>
      <x v="31"/>
    </i>
    <i>
      <x v="30"/>
    </i>
    <i>
      <x v="39"/>
    </i>
    <i>
      <x v="26"/>
    </i>
    <i>
      <x v="29"/>
    </i>
    <i>
      <x v="24"/>
    </i>
    <i>
      <x v="25"/>
    </i>
    <i>
      <x v="28"/>
    </i>
    <i>
      <x v="21"/>
    </i>
    <i>
      <x v="22"/>
    </i>
    <i>
      <x v="23"/>
    </i>
    <i>
      <x v="13"/>
    </i>
    <i>
      <x v="15"/>
    </i>
    <i>
      <x v="14"/>
    </i>
    <i>
      <x v="11"/>
    </i>
    <i>
      <x v="17"/>
    </i>
    <i>
      <x v="19"/>
    </i>
    <i>
      <x v="16"/>
    </i>
    <i>
      <x v="12"/>
    </i>
    <i>
      <x v="20"/>
    </i>
    <i>
      <x v="18"/>
    </i>
    <i>
      <x v="10"/>
    </i>
    <i>
      <x v="9"/>
    </i>
    <i>
      <x v="8"/>
    </i>
    <i>
      <x v="6"/>
    </i>
    <i>
      <x v="5"/>
    </i>
    <i>
      <x v="7"/>
    </i>
    <i>
      <x v="4"/>
    </i>
    <i>
      <x v="2"/>
    </i>
    <i>
      <x v="3"/>
    </i>
    <i>
      <x/>
    </i>
    <i>
      <x v="1"/>
    </i>
    <i t="grand">
      <x/>
    </i>
  </rowItems>
  <colItems count="1">
    <i/>
  </colItems>
  <dataFields count="1">
    <dataField name="Sum of PROFIT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0.xml><?xml version="1.0" encoding="utf-8"?>
<pivotTableDefinition xmlns="http://schemas.openxmlformats.org/spreadsheetml/2006/main" name="PivotTable3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31">
  <location ref="A3:B4" firstHeaderRow="0" firstDataRow="1" firstDataCol="0"/>
  <pivotFields count="11">
    <pivotField showAll="0"/>
    <pivotField numFmtId="164" showAll="0"/>
    <pivotField showAll="0"/>
    <pivotField showAll="0"/>
    <pivotField showAll="0"/>
    <pivotField dataField="1" numFmtId="165" showAll="0">
      <items count="99">
        <item x="6"/>
        <item x="18"/>
        <item x="41"/>
        <item x="60"/>
        <item x="49"/>
        <item x="50"/>
        <item x="40"/>
        <item x="56"/>
        <item x="26"/>
        <item x="73"/>
        <item x="2"/>
        <item x="53"/>
        <item x="4"/>
        <item x="70"/>
        <item x="75"/>
        <item x="79"/>
        <item x="34"/>
        <item x="31"/>
        <item x="87"/>
        <item x="27"/>
        <item x="90"/>
        <item x="13"/>
        <item x="3"/>
        <item x="39"/>
        <item x="88"/>
        <item x="8"/>
        <item x="12"/>
        <item x="16"/>
        <item x="82"/>
        <item x="44"/>
        <item x="5"/>
        <item x="35"/>
        <item x="85"/>
        <item x="10"/>
        <item x="38"/>
        <item x="71"/>
        <item x="91"/>
        <item x="19"/>
        <item x="22"/>
        <item x="69"/>
        <item x="89"/>
        <item x="84"/>
        <item x="47"/>
        <item x="48"/>
        <item x="14"/>
        <item x="37"/>
        <item x="74"/>
        <item x="36"/>
        <item x="62"/>
        <item x="21"/>
        <item x="52"/>
        <item x="30"/>
        <item x="23"/>
        <item x="92"/>
        <item x="24"/>
        <item x="28"/>
        <item x="76"/>
        <item x="81"/>
        <item x="51"/>
        <item x="7"/>
        <item x="1"/>
        <item x="9"/>
        <item x="46"/>
        <item x="32"/>
        <item x="97"/>
        <item x="11"/>
        <item x="65"/>
        <item x="15"/>
        <item x="86"/>
        <item x="63"/>
        <item x="83"/>
        <item x="25"/>
        <item x="61"/>
        <item x="33"/>
        <item x="93"/>
        <item x="96"/>
        <item x="94"/>
        <item x="55"/>
        <item x="0"/>
        <item x="95"/>
        <item x="66"/>
        <item x="68"/>
        <item x="43"/>
        <item x="77"/>
        <item x="67"/>
        <item x="29"/>
        <item x="78"/>
        <item x="72"/>
        <item x="80"/>
        <item x="57"/>
        <item x="17"/>
        <item x="54"/>
        <item x="45"/>
        <item x="42"/>
        <item x="20"/>
        <item x="64"/>
        <item x="58"/>
        <item x="59"/>
        <item t="default"/>
      </items>
    </pivotField>
    <pivotField showAll="0"/>
    <pivotField numFmtId="4" showAll="0"/>
    <pivotField dataField="1" numFmtId="166" showAll="0">
      <items count="99">
        <item x="18"/>
        <item x="6"/>
        <item x="60"/>
        <item x="41"/>
        <item x="49"/>
        <item x="56"/>
        <item x="50"/>
        <item x="40"/>
        <item x="26"/>
        <item x="73"/>
        <item x="2"/>
        <item x="87"/>
        <item x="90"/>
        <item x="4"/>
        <item x="34"/>
        <item x="27"/>
        <item x="31"/>
        <item x="53"/>
        <item x="75"/>
        <item x="79"/>
        <item x="70"/>
        <item x="39"/>
        <item x="3"/>
        <item x="13"/>
        <item x="82"/>
        <item x="8"/>
        <item x="88"/>
        <item x="44"/>
        <item x="12"/>
        <item x="69"/>
        <item x="5"/>
        <item x="35"/>
        <item x="22"/>
        <item x="19"/>
        <item x="91"/>
        <item x="85"/>
        <item x="16"/>
        <item x="38"/>
        <item x="10"/>
        <item x="71"/>
        <item x="89"/>
        <item x="21"/>
        <item x="74"/>
        <item x="14"/>
        <item x="52"/>
        <item x="37"/>
        <item x="62"/>
        <item x="47"/>
        <item x="0"/>
        <item x="24"/>
        <item x="23"/>
        <item x="36"/>
        <item x="48"/>
        <item x="1"/>
        <item x="46"/>
        <item x="84"/>
        <item x="51"/>
        <item x="28"/>
        <item x="86"/>
        <item x="76"/>
        <item x="93"/>
        <item x="63"/>
        <item x="15"/>
        <item x="7"/>
        <item x="30"/>
        <item x="81"/>
        <item x="11"/>
        <item x="92"/>
        <item x="83"/>
        <item x="32"/>
        <item x="68"/>
        <item x="33"/>
        <item x="9"/>
        <item x="29"/>
        <item x="43"/>
        <item x="65"/>
        <item x="97"/>
        <item x="95"/>
        <item x="17"/>
        <item x="80"/>
        <item x="25"/>
        <item x="59"/>
        <item x="96"/>
        <item x="45"/>
        <item x="94"/>
        <item x="78"/>
        <item x="55"/>
        <item x="61"/>
        <item x="57"/>
        <item x="42"/>
        <item x="20"/>
        <item x="77"/>
        <item x="66"/>
        <item x="67"/>
        <item x="72"/>
        <item x="64"/>
        <item x="54"/>
        <item x="58"/>
        <item t="default"/>
      </items>
    </pivotField>
    <pivotField showAl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 SALE" fld="5" baseField="0" baseItem="0"/>
    <dataField name="TOTAL PROFIT" fld="8" baseField="0" baseItem="0"/>
  </dataFields>
  <chartFormats count="16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9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9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0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0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11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 chartFormat="29">
  <location ref="A167:B168" firstHeaderRow="0" firstDataRow="1" firstDataCol="0"/>
  <pivotFields count="11">
    <pivotField showAll="0"/>
    <pivotField numFmtId="164" showAll="0"/>
    <pivotField showAll="0"/>
    <pivotField showAll="0"/>
    <pivotField showAll="0"/>
    <pivotField dataField="1" numFmtId="165" showAll="0">
      <items count="99">
        <item x="6"/>
        <item x="18"/>
        <item x="41"/>
        <item x="60"/>
        <item x="49"/>
        <item x="50"/>
        <item x="40"/>
        <item x="56"/>
        <item x="26"/>
        <item x="73"/>
        <item x="2"/>
        <item x="53"/>
        <item x="4"/>
        <item x="70"/>
        <item x="75"/>
        <item x="79"/>
        <item x="34"/>
        <item x="31"/>
        <item x="87"/>
        <item x="27"/>
        <item x="90"/>
        <item x="13"/>
        <item x="3"/>
        <item x="39"/>
        <item x="88"/>
        <item x="8"/>
        <item x="12"/>
        <item x="16"/>
        <item x="82"/>
        <item x="44"/>
        <item x="5"/>
        <item x="35"/>
        <item x="85"/>
        <item x="10"/>
        <item x="38"/>
        <item x="71"/>
        <item x="91"/>
        <item x="19"/>
        <item x="22"/>
        <item x="69"/>
        <item x="89"/>
        <item x="84"/>
        <item x="47"/>
        <item x="48"/>
        <item x="14"/>
        <item x="37"/>
        <item x="74"/>
        <item x="36"/>
        <item x="62"/>
        <item x="21"/>
        <item x="52"/>
        <item x="30"/>
        <item x="23"/>
        <item x="92"/>
        <item x="24"/>
        <item x="28"/>
        <item x="76"/>
        <item x="81"/>
        <item x="51"/>
        <item x="7"/>
        <item x="1"/>
        <item x="9"/>
        <item x="46"/>
        <item x="32"/>
        <item x="97"/>
        <item x="11"/>
        <item x="65"/>
        <item x="15"/>
        <item x="86"/>
        <item x="63"/>
        <item x="83"/>
        <item x="25"/>
        <item x="61"/>
        <item x="33"/>
        <item x="93"/>
        <item x="96"/>
        <item x="94"/>
        <item x="55"/>
        <item x="0"/>
        <item x="95"/>
        <item x="66"/>
        <item x="68"/>
        <item x="43"/>
        <item x="77"/>
        <item x="67"/>
        <item x="29"/>
        <item x="78"/>
        <item x="72"/>
        <item x="80"/>
        <item x="57"/>
        <item x="17"/>
        <item x="54"/>
        <item x="45"/>
        <item x="42"/>
        <item x="20"/>
        <item x="64"/>
        <item x="58"/>
        <item x="59"/>
        <item t="default"/>
      </items>
    </pivotField>
    <pivotField showAll="0"/>
    <pivotField numFmtId="4" showAll="0"/>
    <pivotField dataField="1" numFmtId="166" showAll="0">
      <items count="99">
        <item x="18"/>
        <item x="6"/>
        <item x="60"/>
        <item x="41"/>
        <item x="49"/>
        <item x="56"/>
        <item x="50"/>
        <item x="40"/>
        <item x="26"/>
        <item x="73"/>
        <item x="2"/>
        <item x="87"/>
        <item x="90"/>
        <item x="4"/>
        <item x="34"/>
        <item x="27"/>
        <item x="31"/>
        <item x="53"/>
        <item x="75"/>
        <item x="79"/>
        <item x="70"/>
        <item x="39"/>
        <item x="3"/>
        <item x="13"/>
        <item x="82"/>
        <item x="8"/>
        <item x="88"/>
        <item x="44"/>
        <item x="12"/>
        <item x="69"/>
        <item x="5"/>
        <item x="35"/>
        <item x="22"/>
        <item x="19"/>
        <item x="91"/>
        <item x="85"/>
        <item x="16"/>
        <item x="38"/>
        <item x="10"/>
        <item x="71"/>
        <item x="89"/>
        <item x="21"/>
        <item x="74"/>
        <item x="14"/>
        <item x="52"/>
        <item x="37"/>
        <item x="62"/>
        <item x="47"/>
        <item x="0"/>
        <item x="24"/>
        <item x="23"/>
        <item x="36"/>
        <item x="48"/>
        <item x="1"/>
        <item x="46"/>
        <item x="84"/>
        <item x="51"/>
        <item x="28"/>
        <item x="86"/>
        <item x="76"/>
        <item x="93"/>
        <item x="63"/>
        <item x="15"/>
        <item x="7"/>
        <item x="30"/>
        <item x="81"/>
        <item x="11"/>
        <item x="92"/>
        <item x="83"/>
        <item x="32"/>
        <item x="68"/>
        <item x="33"/>
        <item x="9"/>
        <item x="29"/>
        <item x="43"/>
        <item x="65"/>
        <item x="97"/>
        <item x="95"/>
        <item x="17"/>
        <item x="80"/>
        <item x="25"/>
        <item x="59"/>
        <item x="96"/>
        <item x="45"/>
        <item x="94"/>
        <item x="78"/>
        <item x="55"/>
        <item x="61"/>
        <item x="57"/>
        <item x="42"/>
        <item x="20"/>
        <item x="77"/>
        <item x="66"/>
        <item x="67"/>
        <item x="72"/>
        <item x="64"/>
        <item x="54"/>
        <item x="58"/>
        <item t="default"/>
      </items>
    </pivotField>
    <pivotField showAll="0"/>
    <pivotField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TOTAL SALE" fld="5" baseField="0" baseItem="0"/>
    <dataField name="TOTAL PROFIT" fld="8" baseField="0" baseItem="0"/>
  </dataFields>
  <formats count="1"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7" format="2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7" format="3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2" name="Table2" displayName="Table2" ref="A2:J100" totalsRowShown="0" headerRowDxfId="38" headerRowBorderDxfId="37" tableBorderDxfId="36">
  <tableColumns count="10">
    <tableColumn id="1" name="ORDER ID" dataDxfId="35"/>
    <tableColumn id="2" name="ORDER DATE" dataDxfId="34"/>
    <tableColumn id="3" name="REGION" dataDxfId="33"/>
    <tableColumn id="4" name="PRODUCT" dataDxfId="32"/>
    <tableColumn id="5" name="CATEGORY" dataDxfId="31"/>
    <tableColumn id="6" name="SALES" dataDxfId="30"/>
    <tableColumn id="7" name="QUANTITY" dataDxfId="29"/>
    <tableColumn id="8" name="DISCOUNT" dataDxfId="28"/>
    <tableColumn id="9" name="PROFIT" dataDxfId="27"/>
    <tableColumn id="10" name="CUSTOMER TYPE" dataDxfId="26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04:B108" totalsRowShown="0" headerRowDxfId="25" headerRowBorderDxfId="24" tableBorderDxfId="23" totalsRowBorderDxfId="22">
  <tableColumns count="2">
    <tableColumn id="1" name="REGION" dataDxfId="21"/>
    <tableColumn id="2" name="SALE" dataDxfId="20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19:B123" totalsRowShown="0" headerRowDxfId="3" headerRowBorderDxfId="4">
  <tableColumns count="2">
    <tableColumn id="1" name="REGION" dataDxfId="19"/>
    <tableColumn id="2" name="PROFITS" dataDxfId="18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33:B139" totalsRowShown="0" headerRowDxfId="1" headerRowBorderDxfId="2">
  <tableColumns count="2">
    <tableColumn id="1" name="DATE" dataDxfId="15"/>
    <tableColumn id="2" name="SALE" dataDxfId="14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id="5" name="Table5" displayName="Table5" ref="A151:B156" headerRowCount="0" totalsRowShown="0" tableBorderDxfId="12">
  <tableColumns count="2">
    <tableColumn id="1" name="Column1" headerRowDxfId="8" dataDxfId="11"/>
    <tableColumn id="2" name="Column2" headerRowDxfId="9" dataDxfId="1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7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customHeight="1" x14ac:dyDescent="0.35"/>
  <cols>
    <col min="1" max="1" width="10.90625" bestFit="1" customWidth="1"/>
    <col min="2" max="2" width="12.26953125" bestFit="1" customWidth="1"/>
  </cols>
  <sheetData/>
  <pageMargins left="0.70000000000000007" right="0.70000000000000007" top="0.75" bottom="0.75" header="0.30000000000000004" footer="0.3000000000000000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C16" sqref="C16"/>
    </sheetView>
  </sheetViews>
  <sheetFormatPr defaultRowHeight="14.5" x14ac:dyDescent="0.35"/>
  <cols>
    <col min="1" max="1" width="10.7265625" customWidth="1"/>
    <col min="2" max="2" width="9.81640625" customWidth="1"/>
  </cols>
  <sheetData>
    <row r="3" spans="1:2" x14ac:dyDescent="0.35">
      <c r="A3" s="28" t="s">
        <v>2</v>
      </c>
      <c r="B3" t="s">
        <v>25</v>
      </c>
    </row>
    <row r="4" spans="1:2" x14ac:dyDescent="0.35">
      <c r="A4" s="29" t="s">
        <v>14</v>
      </c>
      <c r="B4" s="30">
        <v>35157.760000000002</v>
      </c>
    </row>
    <row r="5" spans="1:2" x14ac:dyDescent="0.35">
      <c r="A5" s="29" t="s">
        <v>20</v>
      </c>
      <c r="B5" s="30">
        <v>27524.759999999991</v>
      </c>
    </row>
    <row r="6" spans="1:2" x14ac:dyDescent="0.35">
      <c r="A6" s="29" t="s">
        <v>10</v>
      </c>
      <c r="B6" s="30">
        <v>24517.069999999996</v>
      </c>
    </row>
    <row r="7" spans="1:2" x14ac:dyDescent="0.35">
      <c r="A7" s="29" t="s">
        <v>17</v>
      </c>
      <c r="B7" s="30">
        <v>21315.670000000002</v>
      </c>
    </row>
    <row r="8" spans="1:2" x14ac:dyDescent="0.35">
      <c r="A8" s="29" t="s">
        <v>23</v>
      </c>
      <c r="B8" s="30">
        <v>108515.25999999998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E22" sqref="E22"/>
    </sheetView>
  </sheetViews>
  <sheetFormatPr defaultRowHeight="14.5" x14ac:dyDescent="0.35"/>
  <cols>
    <col min="1" max="1" width="10.7265625" customWidth="1"/>
    <col min="2" max="2" width="8.81640625" customWidth="1"/>
  </cols>
  <sheetData>
    <row r="3" spans="1:2" x14ac:dyDescent="0.35">
      <c r="A3" s="28" t="s">
        <v>2</v>
      </c>
      <c r="B3" t="s">
        <v>27</v>
      </c>
    </row>
    <row r="4" spans="1:2" x14ac:dyDescent="0.35">
      <c r="A4" s="29" t="s">
        <v>14</v>
      </c>
      <c r="B4" s="30">
        <v>5663.05</v>
      </c>
    </row>
    <row r="5" spans="1:2" x14ac:dyDescent="0.35">
      <c r="A5" s="29" t="s">
        <v>20</v>
      </c>
      <c r="B5" s="30">
        <v>4628.87</v>
      </c>
    </row>
    <row r="6" spans="1:2" x14ac:dyDescent="0.35">
      <c r="A6" s="29" t="s">
        <v>10</v>
      </c>
      <c r="B6" s="30">
        <v>4053.3</v>
      </c>
    </row>
    <row r="7" spans="1:2" x14ac:dyDescent="0.35">
      <c r="A7" s="29" t="s">
        <v>17</v>
      </c>
      <c r="B7" s="30">
        <v>3417.7100000000005</v>
      </c>
    </row>
    <row r="8" spans="1:2" x14ac:dyDescent="0.35">
      <c r="A8" s="29" t="s">
        <v>23</v>
      </c>
      <c r="B8" s="30">
        <v>17762.93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5"/>
  <sheetViews>
    <sheetView topLeftCell="A15" workbookViewId="0">
      <selection activeCell="A3" sqref="A3:B35"/>
    </sheetView>
  </sheetViews>
  <sheetFormatPr defaultRowHeight="14.5" x14ac:dyDescent="0.35"/>
  <cols>
    <col min="1" max="1" width="11.81640625" customWidth="1"/>
    <col min="2" max="2" width="8.81640625" customWidth="1"/>
    <col min="3" max="32" width="15.26953125" customWidth="1"/>
    <col min="33" max="98" width="15.26953125" bestFit="1" customWidth="1"/>
    <col min="99" max="99" width="10.7265625" bestFit="1" customWidth="1"/>
  </cols>
  <sheetData>
    <row r="3" spans="1:2" x14ac:dyDescent="0.35">
      <c r="A3" s="28" t="s">
        <v>7</v>
      </c>
      <c r="B3" t="s">
        <v>27</v>
      </c>
    </row>
    <row r="4" spans="1:2" x14ac:dyDescent="0.35">
      <c r="A4" s="39">
        <v>0.03</v>
      </c>
      <c r="B4" s="30">
        <v>1457.0500000000002</v>
      </c>
    </row>
    <row r="5" spans="1:2" x14ac:dyDescent="0.35">
      <c r="A5" s="39">
        <v>0.18</v>
      </c>
      <c r="B5" s="30">
        <v>1382.4</v>
      </c>
    </row>
    <row r="6" spans="1:2" x14ac:dyDescent="0.35">
      <c r="A6" s="39">
        <v>7.0000000000000007E-2</v>
      </c>
      <c r="B6" s="30">
        <v>1081.17</v>
      </c>
    </row>
    <row r="7" spans="1:2" x14ac:dyDescent="0.35">
      <c r="A7" s="39">
        <v>0.17</v>
      </c>
      <c r="B7" s="30">
        <v>1016.1099999999999</v>
      </c>
    </row>
    <row r="8" spans="1:2" x14ac:dyDescent="0.35">
      <c r="A8" s="39">
        <v>0.23</v>
      </c>
      <c r="B8" s="30">
        <v>885.17000000000007</v>
      </c>
    </row>
    <row r="9" spans="1:2" x14ac:dyDescent="0.35">
      <c r="A9" s="39">
        <v>0.25</v>
      </c>
      <c r="B9" s="30">
        <v>856.26</v>
      </c>
    </row>
    <row r="10" spans="1:2" x14ac:dyDescent="0.35">
      <c r="A10" s="39">
        <v>0.02</v>
      </c>
      <c r="B10" s="30">
        <v>840.89</v>
      </c>
    </row>
    <row r="11" spans="1:2" x14ac:dyDescent="0.35">
      <c r="A11" s="39">
        <v>0.01</v>
      </c>
      <c r="B11" s="30">
        <v>780.02</v>
      </c>
    </row>
    <row r="12" spans="1:2" x14ac:dyDescent="0.35">
      <c r="A12" s="39">
        <v>0.05</v>
      </c>
      <c r="B12" s="30">
        <v>746.73</v>
      </c>
    </row>
    <row r="13" spans="1:2" x14ac:dyDescent="0.35">
      <c r="A13" s="39">
        <v>0.21</v>
      </c>
      <c r="B13" s="30">
        <v>744.65000000000009</v>
      </c>
    </row>
    <row r="14" spans="1:2" x14ac:dyDescent="0.35">
      <c r="A14" s="39">
        <v>0.16</v>
      </c>
      <c r="B14" s="30">
        <v>717.56</v>
      </c>
    </row>
    <row r="15" spans="1:2" x14ac:dyDescent="0.35">
      <c r="A15" s="39">
        <v>0.11</v>
      </c>
      <c r="B15" s="30">
        <v>697.06000000000006</v>
      </c>
    </row>
    <row r="16" spans="1:2" x14ac:dyDescent="0.35">
      <c r="A16" s="39">
        <v>0.27</v>
      </c>
      <c r="B16" s="30">
        <v>691.77</v>
      </c>
    </row>
    <row r="17" spans="1:2" x14ac:dyDescent="0.35">
      <c r="A17" s="39">
        <v>0.22</v>
      </c>
      <c r="B17" s="30">
        <v>614.04999999999995</v>
      </c>
    </row>
    <row r="18" spans="1:2" x14ac:dyDescent="0.35">
      <c r="A18" s="39">
        <v>0.15</v>
      </c>
      <c r="B18" s="30">
        <v>531.59</v>
      </c>
    </row>
    <row r="19" spans="1:2" x14ac:dyDescent="0.35">
      <c r="A19" s="39">
        <v>0.14000000000000001</v>
      </c>
      <c r="B19" s="30">
        <v>524.57999999999993</v>
      </c>
    </row>
    <row r="20" spans="1:2" x14ac:dyDescent="0.35">
      <c r="A20" s="39">
        <v>0.12</v>
      </c>
      <c r="B20" s="30">
        <v>498.43999999999994</v>
      </c>
    </row>
    <row r="21" spans="1:2" x14ac:dyDescent="0.35">
      <c r="A21" s="39">
        <v>0.26</v>
      </c>
      <c r="B21" s="30">
        <v>474.33000000000004</v>
      </c>
    </row>
    <row r="22" spans="1:2" x14ac:dyDescent="0.35">
      <c r="A22" s="39">
        <v>0.04</v>
      </c>
      <c r="B22" s="30">
        <v>466.65000000000003</v>
      </c>
    </row>
    <row r="23" spans="1:2" x14ac:dyDescent="0.35">
      <c r="A23" s="39">
        <v>0.28000000000000003</v>
      </c>
      <c r="B23" s="30">
        <v>437.53000000000003</v>
      </c>
    </row>
    <row r="24" spans="1:2" x14ac:dyDescent="0.35">
      <c r="A24" s="39">
        <v>0.1</v>
      </c>
      <c r="B24" s="30">
        <v>374.56</v>
      </c>
    </row>
    <row r="25" spans="1:2" x14ac:dyDescent="0.35">
      <c r="A25" s="39">
        <v>0.06</v>
      </c>
      <c r="B25" s="30">
        <v>353.18999999999994</v>
      </c>
    </row>
    <row r="26" spans="1:2" x14ac:dyDescent="0.35">
      <c r="A26" s="39">
        <v>0.08</v>
      </c>
      <c r="B26" s="30">
        <v>281.49</v>
      </c>
    </row>
    <row r="27" spans="1:2" x14ac:dyDescent="0.35">
      <c r="A27" s="39">
        <v>0.09</v>
      </c>
      <c r="B27" s="30">
        <v>259.85000000000002</v>
      </c>
    </row>
    <row r="28" spans="1:2" x14ac:dyDescent="0.35">
      <c r="A28" s="39">
        <v>0.13</v>
      </c>
      <c r="B28" s="30">
        <v>254.21999999999997</v>
      </c>
    </row>
    <row r="29" spans="1:2" x14ac:dyDescent="0.35">
      <c r="A29" s="39">
        <v>0.28999999999999998</v>
      </c>
      <c r="B29" s="30">
        <v>190.01</v>
      </c>
    </row>
    <row r="30" spans="1:2" x14ac:dyDescent="0.35">
      <c r="A30" s="39">
        <v>0.2</v>
      </c>
      <c r="B30" s="30">
        <v>175.69</v>
      </c>
    </row>
    <row r="31" spans="1:2" x14ac:dyDescent="0.35">
      <c r="A31" s="39">
        <v>0.3</v>
      </c>
      <c r="B31" s="30">
        <v>154.25</v>
      </c>
    </row>
    <row r="32" spans="1:2" x14ac:dyDescent="0.35">
      <c r="A32" s="39">
        <v>0.24</v>
      </c>
      <c r="B32" s="30">
        <v>142.59</v>
      </c>
    </row>
    <row r="33" spans="1:2" x14ac:dyDescent="0.35">
      <c r="A33" s="39">
        <v>0.19</v>
      </c>
      <c r="B33" s="30">
        <v>77.069999999999993</v>
      </c>
    </row>
    <row r="34" spans="1:2" x14ac:dyDescent="0.35">
      <c r="A34" s="39">
        <v>0</v>
      </c>
      <c r="B34" s="30">
        <v>56</v>
      </c>
    </row>
    <row r="35" spans="1:2" x14ac:dyDescent="0.35">
      <c r="A35" s="39" t="s">
        <v>23</v>
      </c>
      <c r="B35" s="30">
        <v>17762.929999999997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C6"/>
  <sheetViews>
    <sheetView workbookViewId="0">
      <selection activeCell="O19" sqref="O19"/>
    </sheetView>
  </sheetViews>
  <sheetFormatPr defaultRowHeight="14.5" x14ac:dyDescent="0.35"/>
  <cols>
    <col min="1" max="1" width="12.36328125" customWidth="1"/>
    <col min="2" max="2" width="11.90625" customWidth="1"/>
    <col min="3" max="3" width="13.1796875" bestFit="1" customWidth="1"/>
  </cols>
  <sheetData>
    <row r="3" spans="1:3" x14ac:dyDescent="0.35">
      <c r="A3" s="28" t="s">
        <v>22</v>
      </c>
      <c r="B3" t="s">
        <v>24</v>
      </c>
      <c r="C3" t="s">
        <v>26</v>
      </c>
    </row>
    <row r="4" spans="1:3" x14ac:dyDescent="0.35">
      <c r="A4" s="29" t="s">
        <v>12</v>
      </c>
      <c r="B4" s="30">
        <v>64303.980000000025</v>
      </c>
      <c r="C4" s="30">
        <v>10442.530000000001</v>
      </c>
    </row>
    <row r="5" spans="1:3" x14ac:dyDescent="0.35">
      <c r="A5" s="29" t="s">
        <v>16</v>
      </c>
      <c r="B5" s="30">
        <v>44211.28</v>
      </c>
      <c r="C5" s="30">
        <v>7320.4000000000005</v>
      </c>
    </row>
    <row r="6" spans="1:3" x14ac:dyDescent="0.35">
      <c r="A6" s="29" t="s">
        <v>23</v>
      </c>
      <c r="B6" s="30">
        <v>108515.26000000002</v>
      </c>
      <c r="C6" s="30">
        <v>17762.93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8"/>
  <sheetViews>
    <sheetView workbookViewId="0">
      <selection activeCell="A3" sqref="A3:B7"/>
    </sheetView>
  </sheetViews>
  <sheetFormatPr defaultRowHeight="14.5" x14ac:dyDescent="0.35"/>
  <cols>
    <col min="1" max="1" width="10.7265625" bestFit="1" customWidth="1"/>
    <col min="2" max="2" width="9.81640625" bestFit="1" customWidth="1"/>
  </cols>
  <sheetData>
    <row r="3" spans="1:2" x14ac:dyDescent="0.35">
      <c r="A3" s="28" t="s">
        <v>32</v>
      </c>
      <c r="B3" t="s">
        <v>25</v>
      </c>
    </row>
    <row r="4" spans="1:2" x14ac:dyDescent="0.35">
      <c r="A4" s="29" t="s">
        <v>28</v>
      </c>
      <c r="B4" s="30">
        <v>31591.67</v>
      </c>
    </row>
    <row r="5" spans="1:2" x14ac:dyDescent="0.35">
      <c r="A5" s="29" t="s">
        <v>29</v>
      </c>
      <c r="B5" s="30">
        <v>29790.690000000006</v>
      </c>
    </row>
    <row r="6" spans="1:2" x14ac:dyDescent="0.35">
      <c r="A6" s="29" t="s">
        <v>30</v>
      </c>
      <c r="B6" s="30">
        <v>36858.43</v>
      </c>
    </row>
    <row r="7" spans="1:2" x14ac:dyDescent="0.35">
      <c r="A7" s="29" t="s">
        <v>31</v>
      </c>
      <c r="B7" s="30">
        <v>10274.469999999999</v>
      </c>
    </row>
    <row r="8" spans="1:2" x14ac:dyDescent="0.35">
      <c r="A8" s="29" t="s">
        <v>23</v>
      </c>
      <c r="B8" s="30">
        <v>108515.26000000001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9"/>
  <sheetViews>
    <sheetView workbookViewId="0">
      <selection activeCell="A3" sqref="A3:B8"/>
    </sheetView>
  </sheetViews>
  <sheetFormatPr defaultRowHeight="14.5" x14ac:dyDescent="0.35"/>
  <cols>
    <col min="1" max="1" width="12.36328125" bestFit="1" customWidth="1"/>
    <col min="2" max="2" width="11.90625" bestFit="1" customWidth="1"/>
  </cols>
  <sheetData>
    <row r="3" spans="1:2" x14ac:dyDescent="0.35">
      <c r="A3" s="28" t="s">
        <v>3</v>
      </c>
      <c r="B3" t="s">
        <v>25</v>
      </c>
    </row>
    <row r="4" spans="1:2" x14ac:dyDescent="0.35">
      <c r="A4" s="29" t="s">
        <v>11</v>
      </c>
      <c r="B4" s="30">
        <v>27333.45</v>
      </c>
    </row>
    <row r="5" spans="1:2" x14ac:dyDescent="0.35">
      <c r="A5" s="29" t="s">
        <v>15</v>
      </c>
      <c r="B5" s="30">
        <v>26934.86</v>
      </c>
    </row>
    <row r="6" spans="1:2" x14ac:dyDescent="0.35">
      <c r="A6" s="29" t="s">
        <v>19</v>
      </c>
      <c r="B6" s="30">
        <v>23786.95</v>
      </c>
    </row>
    <row r="7" spans="1:2" x14ac:dyDescent="0.35">
      <c r="A7" s="29" t="s">
        <v>18</v>
      </c>
      <c r="B7" s="30">
        <v>16702.77</v>
      </c>
    </row>
    <row r="8" spans="1:2" x14ac:dyDescent="0.35">
      <c r="A8" s="29" t="s">
        <v>21</v>
      </c>
      <c r="B8" s="30">
        <v>13757.23</v>
      </c>
    </row>
    <row r="9" spans="1:2" x14ac:dyDescent="0.35">
      <c r="A9" s="29" t="s">
        <v>23</v>
      </c>
      <c r="B9" s="30">
        <v>108515.26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5"/>
  <sheetViews>
    <sheetView zoomScale="115" zoomScaleNormal="115" workbookViewId="0">
      <selection activeCell="A4" sqref="A4:B34"/>
    </sheetView>
  </sheetViews>
  <sheetFormatPr defaultRowHeight="14.5" x14ac:dyDescent="0.35"/>
  <cols>
    <col min="1" max="1" width="12.36328125" bestFit="1" customWidth="1"/>
    <col min="2" max="2" width="13.1796875" bestFit="1" customWidth="1"/>
  </cols>
  <sheetData>
    <row r="3" spans="1:2" x14ac:dyDescent="0.35">
      <c r="A3" s="28" t="s">
        <v>7</v>
      </c>
      <c r="B3" t="s">
        <v>27</v>
      </c>
    </row>
    <row r="4" spans="1:2" x14ac:dyDescent="0.35">
      <c r="A4" s="39">
        <v>0</v>
      </c>
      <c r="B4" s="30">
        <v>56</v>
      </c>
    </row>
    <row r="5" spans="1:2" x14ac:dyDescent="0.35">
      <c r="A5" s="39">
        <v>0.01</v>
      </c>
      <c r="B5" s="30">
        <v>780.02</v>
      </c>
    </row>
    <row r="6" spans="1:2" x14ac:dyDescent="0.35">
      <c r="A6" s="39">
        <v>0.02</v>
      </c>
      <c r="B6" s="30">
        <v>840.89</v>
      </c>
    </row>
    <row r="7" spans="1:2" x14ac:dyDescent="0.35">
      <c r="A7" s="39">
        <v>0.03</v>
      </c>
      <c r="B7" s="30">
        <v>1457.0500000000002</v>
      </c>
    </row>
    <row r="8" spans="1:2" x14ac:dyDescent="0.35">
      <c r="A8" s="39">
        <v>0.04</v>
      </c>
      <c r="B8" s="30">
        <v>466.65000000000003</v>
      </c>
    </row>
    <row r="9" spans="1:2" x14ac:dyDescent="0.35">
      <c r="A9" s="39">
        <v>0.05</v>
      </c>
      <c r="B9" s="30">
        <v>746.73</v>
      </c>
    </row>
    <row r="10" spans="1:2" x14ac:dyDescent="0.35">
      <c r="A10" s="39">
        <v>0.06</v>
      </c>
      <c r="B10" s="30">
        <v>353.18999999999994</v>
      </c>
    </row>
    <row r="11" spans="1:2" x14ac:dyDescent="0.35">
      <c r="A11" s="39">
        <v>7.0000000000000007E-2</v>
      </c>
      <c r="B11" s="30">
        <v>1081.17</v>
      </c>
    </row>
    <row r="12" spans="1:2" x14ac:dyDescent="0.35">
      <c r="A12" s="39">
        <v>0.08</v>
      </c>
      <c r="B12" s="30">
        <v>281.49</v>
      </c>
    </row>
    <row r="13" spans="1:2" x14ac:dyDescent="0.35">
      <c r="A13" s="39">
        <v>0.09</v>
      </c>
      <c r="B13" s="30">
        <v>259.85000000000002</v>
      </c>
    </row>
    <row r="14" spans="1:2" x14ac:dyDescent="0.35">
      <c r="A14" s="39">
        <v>0.1</v>
      </c>
      <c r="B14" s="30">
        <v>374.56</v>
      </c>
    </row>
    <row r="15" spans="1:2" x14ac:dyDescent="0.35">
      <c r="A15" s="39">
        <v>0.11</v>
      </c>
      <c r="B15" s="30">
        <v>697.06000000000006</v>
      </c>
    </row>
    <row r="16" spans="1:2" x14ac:dyDescent="0.35">
      <c r="A16" s="39">
        <v>0.12</v>
      </c>
      <c r="B16" s="30">
        <v>498.43999999999994</v>
      </c>
    </row>
    <row r="17" spans="1:2" x14ac:dyDescent="0.35">
      <c r="A17" s="39">
        <v>0.13</v>
      </c>
      <c r="B17" s="30">
        <v>254.21999999999997</v>
      </c>
    </row>
    <row r="18" spans="1:2" x14ac:dyDescent="0.35">
      <c r="A18" s="39">
        <v>0.14000000000000001</v>
      </c>
      <c r="B18" s="30">
        <v>524.57999999999993</v>
      </c>
    </row>
    <row r="19" spans="1:2" x14ac:dyDescent="0.35">
      <c r="A19" s="39">
        <v>0.15</v>
      </c>
      <c r="B19" s="30">
        <v>531.59</v>
      </c>
    </row>
    <row r="20" spans="1:2" x14ac:dyDescent="0.35">
      <c r="A20" s="39">
        <v>0.16</v>
      </c>
      <c r="B20" s="30">
        <v>717.56</v>
      </c>
    </row>
    <row r="21" spans="1:2" x14ac:dyDescent="0.35">
      <c r="A21" s="39">
        <v>0.17</v>
      </c>
      <c r="B21" s="30">
        <v>1016.1099999999999</v>
      </c>
    </row>
    <row r="22" spans="1:2" x14ac:dyDescent="0.35">
      <c r="A22" s="39">
        <v>0.18</v>
      </c>
      <c r="B22" s="30">
        <v>1382.4</v>
      </c>
    </row>
    <row r="23" spans="1:2" x14ac:dyDescent="0.35">
      <c r="A23" s="39">
        <v>0.19</v>
      </c>
      <c r="B23" s="30">
        <v>77.069999999999993</v>
      </c>
    </row>
    <row r="24" spans="1:2" x14ac:dyDescent="0.35">
      <c r="A24" s="39">
        <v>0.2</v>
      </c>
      <c r="B24" s="30">
        <v>175.69</v>
      </c>
    </row>
    <row r="25" spans="1:2" x14ac:dyDescent="0.35">
      <c r="A25" s="39">
        <v>0.21</v>
      </c>
      <c r="B25" s="30">
        <v>744.65000000000009</v>
      </c>
    </row>
    <row r="26" spans="1:2" x14ac:dyDescent="0.35">
      <c r="A26" s="39">
        <v>0.22</v>
      </c>
      <c r="B26" s="30">
        <v>614.04999999999995</v>
      </c>
    </row>
    <row r="27" spans="1:2" x14ac:dyDescent="0.35">
      <c r="A27" s="39">
        <v>0.23</v>
      </c>
      <c r="B27" s="30">
        <v>885.17000000000007</v>
      </c>
    </row>
    <row r="28" spans="1:2" x14ac:dyDescent="0.35">
      <c r="A28" s="39">
        <v>0.24</v>
      </c>
      <c r="B28" s="30">
        <v>142.59</v>
      </c>
    </row>
    <row r="29" spans="1:2" x14ac:dyDescent="0.35">
      <c r="A29" s="39">
        <v>0.25</v>
      </c>
      <c r="B29" s="30">
        <v>856.26</v>
      </c>
    </row>
    <row r="30" spans="1:2" x14ac:dyDescent="0.35">
      <c r="A30" s="39">
        <v>0.26</v>
      </c>
      <c r="B30" s="30">
        <v>474.33000000000004</v>
      </c>
    </row>
    <row r="31" spans="1:2" x14ac:dyDescent="0.35">
      <c r="A31" s="39">
        <v>0.27</v>
      </c>
      <c r="B31" s="30">
        <v>691.77</v>
      </c>
    </row>
    <row r="32" spans="1:2" x14ac:dyDescent="0.35">
      <c r="A32" s="39">
        <v>0.28000000000000003</v>
      </c>
      <c r="B32" s="30">
        <v>437.53000000000003</v>
      </c>
    </row>
    <row r="33" spans="1:2" x14ac:dyDescent="0.35">
      <c r="A33" s="39">
        <v>0.28999999999999998</v>
      </c>
      <c r="B33" s="30">
        <v>190.01</v>
      </c>
    </row>
    <row r="34" spans="1:2" x14ac:dyDescent="0.35">
      <c r="A34" s="39">
        <v>0.3</v>
      </c>
      <c r="B34" s="30">
        <v>154.25</v>
      </c>
    </row>
    <row r="35" spans="1:2" x14ac:dyDescent="0.35">
      <c r="A35" s="39" t="s">
        <v>23</v>
      </c>
      <c r="B35" s="30">
        <v>17762.929999999997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35"/>
  <sheetViews>
    <sheetView topLeftCell="A12" workbookViewId="0">
      <selection activeCell="Q16" sqref="Q16"/>
    </sheetView>
  </sheetViews>
  <sheetFormatPr defaultRowHeight="14.5" x14ac:dyDescent="0.35"/>
  <cols>
    <col min="1" max="1" width="11.81640625" bestFit="1" customWidth="1"/>
    <col min="2" max="2" width="8.81640625" bestFit="1" customWidth="1"/>
    <col min="3" max="4" width="6.81640625" customWidth="1"/>
    <col min="5" max="5" width="7.81640625" customWidth="1"/>
    <col min="6" max="8" width="6.81640625" customWidth="1"/>
    <col min="9" max="9" width="7.81640625" customWidth="1"/>
    <col min="10" max="18" width="6.81640625" customWidth="1"/>
    <col min="19" max="19" width="7.81640625" customWidth="1"/>
    <col min="20" max="20" width="6.81640625" customWidth="1"/>
    <col min="21" max="21" width="5.81640625" customWidth="1"/>
    <col min="22" max="32" width="6.81640625" customWidth="1"/>
    <col min="33" max="33" width="10.7265625" bestFit="1" customWidth="1"/>
  </cols>
  <sheetData>
    <row r="3" spans="1:2" x14ac:dyDescent="0.35">
      <c r="A3" s="28" t="s">
        <v>7</v>
      </c>
      <c r="B3" t="s">
        <v>27</v>
      </c>
    </row>
    <row r="4" spans="1:2" x14ac:dyDescent="0.35">
      <c r="A4" s="39">
        <v>0.3</v>
      </c>
      <c r="B4" s="30">
        <v>154.25</v>
      </c>
    </row>
    <row r="5" spans="1:2" x14ac:dyDescent="0.35">
      <c r="A5" s="39">
        <v>0.28999999999999998</v>
      </c>
      <c r="B5" s="30">
        <v>190.01</v>
      </c>
    </row>
    <row r="6" spans="1:2" x14ac:dyDescent="0.35">
      <c r="A6" s="39">
        <v>0.28000000000000003</v>
      </c>
      <c r="B6" s="30">
        <v>437.53000000000003</v>
      </c>
    </row>
    <row r="7" spans="1:2" x14ac:dyDescent="0.35">
      <c r="A7" s="39">
        <v>0.27</v>
      </c>
      <c r="B7" s="30">
        <v>691.77</v>
      </c>
    </row>
    <row r="8" spans="1:2" x14ac:dyDescent="0.35">
      <c r="A8" s="39">
        <v>0.26</v>
      </c>
      <c r="B8" s="30">
        <v>474.33000000000004</v>
      </c>
    </row>
    <row r="9" spans="1:2" x14ac:dyDescent="0.35">
      <c r="A9" s="39">
        <v>0.25</v>
      </c>
      <c r="B9" s="30">
        <v>856.26</v>
      </c>
    </row>
    <row r="10" spans="1:2" x14ac:dyDescent="0.35">
      <c r="A10" s="39">
        <v>0.24</v>
      </c>
      <c r="B10" s="30">
        <v>142.59</v>
      </c>
    </row>
    <row r="11" spans="1:2" x14ac:dyDescent="0.35">
      <c r="A11" s="39">
        <v>0.23</v>
      </c>
      <c r="B11" s="30">
        <v>885.17000000000007</v>
      </c>
    </row>
    <row r="12" spans="1:2" x14ac:dyDescent="0.35">
      <c r="A12" s="39">
        <v>0.22</v>
      </c>
      <c r="B12" s="30">
        <v>614.04999999999995</v>
      </c>
    </row>
    <row r="13" spans="1:2" x14ac:dyDescent="0.35">
      <c r="A13" s="39">
        <v>0.21</v>
      </c>
      <c r="B13" s="30">
        <v>744.65000000000009</v>
      </c>
    </row>
    <row r="14" spans="1:2" x14ac:dyDescent="0.35">
      <c r="A14" s="39">
        <v>0.2</v>
      </c>
      <c r="B14" s="30">
        <v>175.69</v>
      </c>
    </row>
    <row r="15" spans="1:2" x14ac:dyDescent="0.35">
      <c r="A15" s="39">
        <v>0.19</v>
      </c>
      <c r="B15" s="30">
        <v>77.069999999999993</v>
      </c>
    </row>
    <row r="16" spans="1:2" x14ac:dyDescent="0.35">
      <c r="A16" s="39">
        <v>0.18</v>
      </c>
      <c r="B16" s="30">
        <v>1382.4</v>
      </c>
    </row>
    <row r="17" spans="1:2" x14ac:dyDescent="0.35">
      <c r="A17" s="39">
        <v>0.17</v>
      </c>
      <c r="B17" s="30">
        <v>1016.1099999999999</v>
      </c>
    </row>
    <row r="18" spans="1:2" x14ac:dyDescent="0.35">
      <c r="A18" s="39">
        <v>0.16</v>
      </c>
      <c r="B18" s="30">
        <v>717.56</v>
      </c>
    </row>
    <row r="19" spans="1:2" x14ac:dyDescent="0.35">
      <c r="A19" s="39">
        <v>0.15</v>
      </c>
      <c r="B19" s="30">
        <v>531.59</v>
      </c>
    </row>
    <row r="20" spans="1:2" x14ac:dyDescent="0.35">
      <c r="A20" s="39">
        <v>0.14000000000000001</v>
      </c>
      <c r="B20" s="30">
        <v>524.57999999999993</v>
      </c>
    </row>
    <row r="21" spans="1:2" x14ac:dyDescent="0.35">
      <c r="A21" s="39">
        <v>0.13</v>
      </c>
      <c r="B21" s="30">
        <v>254.21999999999997</v>
      </c>
    </row>
    <row r="22" spans="1:2" x14ac:dyDescent="0.35">
      <c r="A22" s="39">
        <v>0.12</v>
      </c>
      <c r="B22" s="30">
        <v>498.43999999999994</v>
      </c>
    </row>
    <row r="23" spans="1:2" x14ac:dyDescent="0.35">
      <c r="A23" s="39">
        <v>0.11</v>
      </c>
      <c r="B23" s="30">
        <v>697.06000000000006</v>
      </c>
    </row>
    <row r="24" spans="1:2" x14ac:dyDescent="0.35">
      <c r="A24" s="39">
        <v>0.1</v>
      </c>
      <c r="B24" s="30">
        <v>374.56</v>
      </c>
    </row>
    <row r="25" spans="1:2" x14ac:dyDescent="0.35">
      <c r="A25" s="39">
        <v>0.09</v>
      </c>
      <c r="B25" s="30">
        <v>259.85000000000002</v>
      </c>
    </row>
    <row r="26" spans="1:2" x14ac:dyDescent="0.35">
      <c r="A26" s="39">
        <v>0.08</v>
      </c>
      <c r="B26" s="30">
        <v>281.49</v>
      </c>
    </row>
    <row r="27" spans="1:2" x14ac:dyDescent="0.35">
      <c r="A27" s="39">
        <v>7.0000000000000007E-2</v>
      </c>
      <c r="B27" s="30">
        <v>1081.17</v>
      </c>
    </row>
    <row r="28" spans="1:2" x14ac:dyDescent="0.35">
      <c r="A28" s="39">
        <v>0.06</v>
      </c>
      <c r="B28" s="30">
        <v>353.18999999999994</v>
      </c>
    </row>
    <row r="29" spans="1:2" x14ac:dyDescent="0.35">
      <c r="A29" s="39">
        <v>0.05</v>
      </c>
      <c r="B29" s="30">
        <v>746.73</v>
      </c>
    </row>
    <row r="30" spans="1:2" x14ac:dyDescent="0.35">
      <c r="A30" s="39">
        <v>0.04</v>
      </c>
      <c r="B30" s="30">
        <v>466.65000000000003</v>
      </c>
    </row>
    <row r="31" spans="1:2" x14ac:dyDescent="0.35">
      <c r="A31" s="39">
        <v>0.03</v>
      </c>
      <c r="B31" s="30">
        <v>1457.0500000000002</v>
      </c>
    </row>
    <row r="32" spans="1:2" x14ac:dyDescent="0.35">
      <c r="A32" s="39">
        <v>0.02</v>
      </c>
      <c r="B32" s="30">
        <v>840.89</v>
      </c>
    </row>
    <row r="33" spans="1:2" x14ac:dyDescent="0.35">
      <c r="A33" s="39">
        <v>0.01</v>
      </c>
      <c r="B33" s="30">
        <v>780.02</v>
      </c>
    </row>
    <row r="34" spans="1:2" x14ac:dyDescent="0.35">
      <c r="A34" s="39">
        <v>0</v>
      </c>
      <c r="B34" s="30">
        <v>56</v>
      </c>
    </row>
    <row r="35" spans="1:2" x14ac:dyDescent="0.35">
      <c r="A35" s="39" t="s">
        <v>23</v>
      </c>
      <c r="B35" s="30">
        <v>17762.93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02"/>
  <sheetViews>
    <sheetView workbookViewId="0">
      <selection activeCell="A4" sqref="A4:B101"/>
    </sheetView>
  </sheetViews>
  <sheetFormatPr defaultRowHeight="14.5" x14ac:dyDescent="0.35"/>
  <cols>
    <col min="1" max="1" width="12.36328125" bestFit="1" customWidth="1"/>
    <col min="2" max="2" width="13.1796875" customWidth="1"/>
  </cols>
  <sheetData>
    <row r="3" spans="1:2" x14ac:dyDescent="0.35">
      <c r="A3" s="28" t="s">
        <v>22</v>
      </c>
      <c r="B3" t="s">
        <v>26</v>
      </c>
    </row>
    <row r="4" spans="1:2" x14ac:dyDescent="0.35">
      <c r="A4" s="42">
        <v>1951.07</v>
      </c>
      <c r="B4" s="30">
        <v>365.46</v>
      </c>
    </row>
    <row r="5" spans="1:2" x14ac:dyDescent="0.35">
      <c r="A5" s="42">
        <v>1897.77</v>
      </c>
      <c r="B5" s="30">
        <v>355.48</v>
      </c>
    </row>
    <row r="6" spans="1:2" x14ac:dyDescent="0.35">
      <c r="A6" s="42">
        <v>1940.44</v>
      </c>
      <c r="B6" s="30">
        <v>333.49</v>
      </c>
    </row>
    <row r="7" spans="1:2" x14ac:dyDescent="0.35">
      <c r="A7" s="42">
        <v>1794.6</v>
      </c>
      <c r="B7" s="30">
        <v>329.22</v>
      </c>
    </row>
    <row r="8" spans="1:2" x14ac:dyDescent="0.35">
      <c r="A8" s="42">
        <v>1747.05</v>
      </c>
      <c r="B8" s="30">
        <v>327.25</v>
      </c>
    </row>
    <row r="9" spans="1:2" x14ac:dyDescent="0.35">
      <c r="A9" s="42">
        <v>1690.23</v>
      </c>
      <c r="B9" s="30">
        <v>319.87</v>
      </c>
    </row>
    <row r="10" spans="1:2" x14ac:dyDescent="0.35">
      <c r="A10" s="42">
        <v>1739.96</v>
      </c>
      <c r="B10" s="30">
        <v>312.48</v>
      </c>
    </row>
    <row r="11" spans="1:2" x14ac:dyDescent="0.35">
      <c r="A11" s="42">
        <v>1938.4</v>
      </c>
      <c r="B11" s="30">
        <v>310.68</v>
      </c>
    </row>
    <row r="12" spans="1:2" x14ac:dyDescent="0.35">
      <c r="A12" s="42">
        <v>1921.23</v>
      </c>
      <c r="B12" s="30">
        <v>307.93</v>
      </c>
    </row>
    <row r="13" spans="1:2" x14ac:dyDescent="0.35">
      <c r="A13" s="42">
        <v>1868.77</v>
      </c>
      <c r="B13" s="30">
        <v>295.92</v>
      </c>
    </row>
    <row r="14" spans="1:2" x14ac:dyDescent="0.35">
      <c r="A14" s="42">
        <v>1500.37</v>
      </c>
      <c r="B14" s="30">
        <v>286.83</v>
      </c>
    </row>
    <row r="15" spans="1:2" x14ac:dyDescent="0.35">
      <c r="A15" s="42">
        <v>1584.46</v>
      </c>
      <c r="B15" s="30">
        <v>281.49</v>
      </c>
    </row>
    <row r="16" spans="1:2" x14ac:dyDescent="0.35">
      <c r="A16" s="42">
        <v>1772.68</v>
      </c>
      <c r="B16" s="30">
        <v>280.7</v>
      </c>
    </row>
    <row r="17" spans="1:2" x14ac:dyDescent="0.35">
      <c r="A17" s="42">
        <v>1557.67</v>
      </c>
      <c r="B17" s="30">
        <v>279.74</v>
      </c>
    </row>
    <row r="18" spans="1:2" x14ac:dyDescent="0.35">
      <c r="A18" s="42">
        <v>1917.92</v>
      </c>
      <c r="B18" s="30">
        <v>277.77</v>
      </c>
    </row>
    <row r="19" spans="1:2" x14ac:dyDescent="0.35">
      <c r="A19" s="42">
        <v>1514</v>
      </c>
      <c r="B19" s="30">
        <v>277.75</v>
      </c>
    </row>
    <row r="20" spans="1:2" x14ac:dyDescent="0.35">
      <c r="A20" s="42">
        <v>1992.27</v>
      </c>
      <c r="B20" s="30">
        <v>277</v>
      </c>
    </row>
    <row r="21" spans="1:2" x14ac:dyDescent="0.35">
      <c r="A21" s="42">
        <v>1490.13</v>
      </c>
      <c r="B21" s="30">
        <v>276.24</v>
      </c>
    </row>
    <row r="22" spans="1:2" x14ac:dyDescent="0.35">
      <c r="A22" s="42">
        <v>1824.62</v>
      </c>
      <c r="B22" s="30">
        <v>274.83</v>
      </c>
    </row>
    <row r="23" spans="1:2" x14ac:dyDescent="0.35">
      <c r="A23" s="42">
        <v>1879.63</v>
      </c>
      <c r="B23" s="30">
        <v>268.60000000000002</v>
      </c>
    </row>
    <row r="24" spans="1:2" x14ac:dyDescent="0.35">
      <c r="A24" s="42">
        <v>1663.3</v>
      </c>
      <c r="B24" s="30">
        <v>266.58999999999997</v>
      </c>
    </row>
    <row r="25" spans="1:2" x14ac:dyDescent="0.35">
      <c r="A25" s="42">
        <v>1393.97</v>
      </c>
      <c r="B25" s="30">
        <v>266.49</v>
      </c>
    </row>
    <row r="26" spans="1:2" x14ac:dyDescent="0.35">
      <c r="A26" s="42">
        <v>1407.26</v>
      </c>
      <c r="B26" s="30">
        <v>266.32</v>
      </c>
    </row>
    <row r="27" spans="1:2" x14ac:dyDescent="0.35">
      <c r="A27" s="42">
        <v>1709.57</v>
      </c>
      <c r="B27" s="30">
        <v>260.8</v>
      </c>
    </row>
    <row r="28" spans="1:2" x14ac:dyDescent="0.35">
      <c r="A28" s="42">
        <v>1747.52</v>
      </c>
      <c r="B28" s="30">
        <v>259.83999999999997</v>
      </c>
    </row>
    <row r="29" spans="1:2" x14ac:dyDescent="0.35">
      <c r="A29" s="42">
        <v>1345.87</v>
      </c>
      <c r="B29" s="30">
        <v>254.7</v>
      </c>
    </row>
    <row r="30" spans="1:2" x14ac:dyDescent="0.35">
      <c r="A30" s="42">
        <v>1505.83</v>
      </c>
      <c r="B30" s="30">
        <v>250.08</v>
      </c>
    </row>
    <row r="31" spans="1:2" x14ac:dyDescent="0.35">
      <c r="A31" s="42">
        <v>1693.11</v>
      </c>
      <c r="B31" s="30">
        <v>245.21</v>
      </c>
    </row>
    <row r="32" spans="1:2" x14ac:dyDescent="0.35">
      <c r="A32" s="42">
        <v>1391.71</v>
      </c>
      <c r="B32" s="30">
        <v>239.19</v>
      </c>
    </row>
    <row r="33" spans="1:2" x14ac:dyDescent="0.35">
      <c r="A33" s="42">
        <v>1445.54</v>
      </c>
      <c r="B33" s="30">
        <v>228.9</v>
      </c>
    </row>
    <row r="34" spans="1:2" x14ac:dyDescent="0.35">
      <c r="A34" s="42">
        <v>1185.8</v>
      </c>
      <c r="B34" s="30">
        <v>226.7</v>
      </c>
    </row>
    <row r="35" spans="1:2" x14ac:dyDescent="0.35">
      <c r="A35" s="42">
        <v>1395.07</v>
      </c>
      <c r="B35" s="30">
        <v>226.29</v>
      </c>
    </row>
    <row r="36" spans="1:2" x14ac:dyDescent="0.35">
      <c r="A36" s="42">
        <v>1224.5899999999999</v>
      </c>
      <c r="B36" s="30">
        <v>222.29</v>
      </c>
    </row>
    <row r="37" spans="1:2" x14ac:dyDescent="0.35">
      <c r="A37" s="42">
        <v>1167.55</v>
      </c>
      <c r="B37" s="30">
        <v>218.7</v>
      </c>
    </row>
    <row r="38" spans="1:2" x14ac:dyDescent="0.35">
      <c r="A38" s="42">
        <v>1274.68</v>
      </c>
      <c r="B38" s="30">
        <v>216.61</v>
      </c>
    </row>
    <row r="39" spans="1:2" x14ac:dyDescent="0.35">
      <c r="A39" s="42">
        <v>1416.49</v>
      </c>
      <c r="B39" s="30">
        <v>216.09</v>
      </c>
    </row>
    <row r="40" spans="1:2" x14ac:dyDescent="0.35">
      <c r="A40" s="42">
        <v>1441.08</v>
      </c>
      <c r="B40" s="30">
        <v>214.28</v>
      </c>
    </row>
    <row r="41" spans="1:2" x14ac:dyDescent="0.35">
      <c r="A41" s="42">
        <v>1507.85</v>
      </c>
      <c r="B41" s="30">
        <v>212.56</v>
      </c>
    </row>
    <row r="42" spans="1:2" x14ac:dyDescent="0.35">
      <c r="A42" s="42">
        <v>1204.48</v>
      </c>
      <c r="B42" s="30">
        <v>211.66</v>
      </c>
    </row>
    <row r="43" spans="1:2" x14ac:dyDescent="0.35">
      <c r="A43" s="42">
        <v>1439.66</v>
      </c>
      <c r="B43" s="30">
        <v>205.73</v>
      </c>
    </row>
    <row r="44" spans="1:2" x14ac:dyDescent="0.35">
      <c r="A44" s="42">
        <v>1203.03</v>
      </c>
      <c r="B44" s="30">
        <v>197.47</v>
      </c>
    </row>
    <row r="45" spans="1:2" x14ac:dyDescent="0.35">
      <c r="A45" s="42">
        <v>1244.6400000000001</v>
      </c>
      <c r="B45" s="30">
        <v>197.09</v>
      </c>
    </row>
    <row r="46" spans="1:2" x14ac:dyDescent="0.35">
      <c r="A46" s="42">
        <v>1015.17</v>
      </c>
      <c r="B46" s="30">
        <v>190.16</v>
      </c>
    </row>
    <row r="47" spans="1:2" x14ac:dyDescent="0.35">
      <c r="A47" s="42">
        <v>1385.86</v>
      </c>
      <c r="B47" s="30">
        <v>190.01</v>
      </c>
    </row>
    <row r="48" spans="1:2" x14ac:dyDescent="0.35">
      <c r="A48" s="42">
        <v>1337.82</v>
      </c>
      <c r="B48" s="30">
        <v>188.59</v>
      </c>
    </row>
    <row r="49" spans="1:2" x14ac:dyDescent="0.35">
      <c r="A49" s="42">
        <v>1036.75</v>
      </c>
      <c r="B49" s="30">
        <v>186.19</v>
      </c>
    </row>
    <row r="50" spans="1:2" x14ac:dyDescent="0.35">
      <c r="A50" s="42">
        <v>1115.22</v>
      </c>
      <c r="B50" s="30">
        <v>180.9</v>
      </c>
    </row>
    <row r="51" spans="1:2" x14ac:dyDescent="0.35">
      <c r="A51" s="42">
        <v>1180.19</v>
      </c>
      <c r="B51" s="30">
        <v>180.04</v>
      </c>
    </row>
    <row r="52" spans="1:2" x14ac:dyDescent="0.35">
      <c r="A52" s="42">
        <v>1194.26</v>
      </c>
      <c r="B52" s="30">
        <v>177.58</v>
      </c>
    </row>
    <row r="53" spans="1:2" x14ac:dyDescent="0.35">
      <c r="A53" s="42">
        <v>1658.81</v>
      </c>
      <c r="B53" s="30">
        <v>177.54</v>
      </c>
    </row>
    <row r="54" spans="1:2" x14ac:dyDescent="0.35">
      <c r="A54" s="42">
        <v>1016.79</v>
      </c>
      <c r="B54" s="30">
        <v>176.71</v>
      </c>
    </row>
    <row r="55" spans="1:2" x14ac:dyDescent="0.35">
      <c r="A55" s="42">
        <v>1137.24</v>
      </c>
      <c r="B55" s="30">
        <v>175.69</v>
      </c>
    </row>
    <row r="56" spans="1:2" x14ac:dyDescent="0.35">
      <c r="A56" s="42">
        <v>1043.47</v>
      </c>
      <c r="B56" s="30">
        <v>171.28</v>
      </c>
    </row>
    <row r="57" spans="1:2" x14ac:dyDescent="0.35">
      <c r="A57" s="42">
        <v>1152.04</v>
      </c>
      <c r="B57" s="30">
        <v>162.4</v>
      </c>
    </row>
    <row r="58" spans="1:2" x14ac:dyDescent="0.35">
      <c r="A58" s="42">
        <v>1042.47</v>
      </c>
      <c r="B58" s="30">
        <v>157.02000000000001</v>
      </c>
    </row>
    <row r="59" spans="1:2" x14ac:dyDescent="0.35">
      <c r="A59" s="42">
        <v>1075.32</v>
      </c>
      <c r="B59" s="30">
        <v>155.74</v>
      </c>
    </row>
    <row r="60" spans="1:2" x14ac:dyDescent="0.35">
      <c r="A60" s="42">
        <v>1141.1500000000001</v>
      </c>
      <c r="B60" s="30">
        <v>154.25</v>
      </c>
    </row>
    <row r="61" spans="1:2" x14ac:dyDescent="0.35">
      <c r="A61" s="42">
        <v>925.46</v>
      </c>
      <c r="B61" s="30">
        <v>153.69</v>
      </c>
    </row>
    <row r="62" spans="1:2" x14ac:dyDescent="0.35">
      <c r="A62" s="42">
        <v>853.64</v>
      </c>
      <c r="B62" s="30">
        <v>153.30000000000001</v>
      </c>
    </row>
    <row r="63" spans="1:2" x14ac:dyDescent="0.35">
      <c r="A63" s="42">
        <v>832.25</v>
      </c>
      <c r="B63" s="30">
        <v>149.46</v>
      </c>
    </row>
    <row r="64" spans="1:2" x14ac:dyDescent="0.35">
      <c r="A64" s="42">
        <v>840.27</v>
      </c>
      <c r="B64" s="30">
        <v>142.79</v>
      </c>
    </row>
    <row r="65" spans="1:2" x14ac:dyDescent="0.35">
      <c r="A65" s="42">
        <v>761.84</v>
      </c>
      <c r="B65" s="30">
        <v>139.76</v>
      </c>
    </row>
    <row r="66" spans="1:2" x14ac:dyDescent="0.35">
      <c r="A66" s="42">
        <v>818.18</v>
      </c>
      <c r="B66" s="30">
        <v>139.04</v>
      </c>
    </row>
    <row r="67" spans="1:2" x14ac:dyDescent="0.35">
      <c r="A67" s="42">
        <v>869.88</v>
      </c>
      <c r="B67" s="30">
        <v>137.74</v>
      </c>
    </row>
    <row r="68" spans="1:2" x14ac:dyDescent="0.35">
      <c r="A68" s="42">
        <v>894.1</v>
      </c>
      <c r="B68" s="30">
        <v>134.66999999999999</v>
      </c>
    </row>
    <row r="69" spans="1:2" x14ac:dyDescent="0.35">
      <c r="A69" s="42">
        <v>904.59</v>
      </c>
      <c r="B69" s="30">
        <v>134.51</v>
      </c>
    </row>
    <row r="70" spans="1:2" x14ac:dyDescent="0.35">
      <c r="A70" s="42">
        <v>817.68</v>
      </c>
      <c r="B70" s="30">
        <v>134.21</v>
      </c>
    </row>
    <row r="71" spans="1:2" x14ac:dyDescent="0.35">
      <c r="A71" s="42">
        <v>816.79</v>
      </c>
      <c r="B71" s="30">
        <v>130.91</v>
      </c>
    </row>
    <row r="72" spans="1:2" x14ac:dyDescent="0.35">
      <c r="A72" s="42">
        <v>909.57</v>
      </c>
      <c r="B72" s="30">
        <v>128.22</v>
      </c>
    </row>
    <row r="73" spans="1:2" x14ac:dyDescent="0.35">
      <c r="A73" s="42">
        <v>747.19</v>
      </c>
      <c r="B73" s="30">
        <v>125.53</v>
      </c>
    </row>
    <row r="74" spans="1:2" x14ac:dyDescent="0.35">
      <c r="A74" s="42">
        <v>774.32</v>
      </c>
      <c r="B74" s="30">
        <v>122.61</v>
      </c>
    </row>
    <row r="75" spans="1:2" x14ac:dyDescent="0.35">
      <c r="A75" s="42">
        <v>727.48</v>
      </c>
      <c r="B75" s="30">
        <v>120.81</v>
      </c>
    </row>
    <row r="76" spans="1:2" x14ac:dyDescent="0.35">
      <c r="A76" s="42">
        <v>739.45</v>
      </c>
      <c r="B76" s="30">
        <v>119.95</v>
      </c>
    </row>
    <row r="77" spans="1:2" x14ac:dyDescent="0.35">
      <c r="A77" s="42">
        <v>765.41</v>
      </c>
      <c r="B77" s="30">
        <v>112.33</v>
      </c>
    </row>
    <row r="78" spans="1:2" x14ac:dyDescent="0.35">
      <c r="A78" s="42">
        <v>595.32000000000005</v>
      </c>
      <c r="B78" s="30">
        <v>103.46</v>
      </c>
    </row>
    <row r="79" spans="1:2" x14ac:dyDescent="0.35">
      <c r="A79" s="42">
        <v>620.53</v>
      </c>
      <c r="B79" s="30">
        <v>100.66</v>
      </c>
    </row>
    <row r="80" spans="1:2" x14ac:dyDescent="0.35">
      <c r="A80" s="42">
        <v>665.51</v>
      </c>
      <c r="B80" s="30">
        <v>98.96</v>
      </c>
    </row>
    <row r="81" spans="1:2" x14ac:dyDescent="0.35">
      <c r="A81" s="42">
        <v>522.9</v>
      </c>
      <c r="B81" s="30">
        <v>96.94</v>
      </c>
    </row>
    <row r="82" spans="1:2" x14ac:dyDescent="0.35">
      <c r="A82" s="42">
        <v>549.70000000000005</v>
      </c>
      <c r="B82" s="30">
        <v>94.47</v>
      </c>
    </row>
    <row r="83" spans="1:2" x14ac:dyDescent="0.35">
      <c r="A83" s="42">
        <v>543.13</v>
      </c>
      <c r="B83" s="30">
        <v>94.39</v>
      </c>
    </row>
    <row r="84" spans="1:2" x14ac:dyDescent="0.35">
      <c r="A84" s="42">
        <v>504.18</v>
      </c>
      <c r="B84" s="30">
        <v>93.47</v>
      </c>
    </row>
    <row r="85" spans="1:2" x14ac:dyDescent="0.35">
      <c r="A85" s="42">
        <v>553.33000000000004</v>
      </c>
      <c r="B85" s="30">
        <v>89.76</v>
      </c>
    </row>
    <row r="86" spans="1:2" x14ac:dyDescent="0.35">
      <c r="A86" s="42">
        <v>575.03</v>
      </c>
      <c r="B86" s="30">
        <v>87.72</v>
      </c>
    </row>
    <row r="87" spans="1:2" x14ac:dyDescent="0.35">
      <c r="A87" s="42">
        <v>552.65</v>
      </c>
      <c r="B87" s="30">
        <v>87.51</v>
      </c>
    </row>
    <row r="88" spans="1:2" x14ac:dyDescent="0.35">
      <c r="A88" s="42">
        <v>507.72</v>
      </c>
      <c r="B88" s="30">
        <v>85.3</v>
      </c>
    </row>
    <row r="89" spans="1:2" x14ac:dyDescent="0.35">
      <c r="A89" s="42">
        <v>582</v>
      </c>
      <c r="B89" s="30">
        <v>80.92</v>
      </c>
    </row>
    <row r="90" spans="1:2" x14ac:dyDescent="0.35">
      <c r="A90" s="42">
        <v>572.58000000000004</v>
      </c>
      <c r="B90" s="30">
        <v>79.61</v>
      </c>
    </row>
    <row r="91" spans="1:2" x14ac:dyDescent="0.35">
      <c r="A91" s="42">
        <v>492.7</v>
      </c>
      <c r="B91" s="30">
        <v>77.069999999999993</v>
      </c>
    </row>
    <row r="92" spans="1:2" x14ac:dyDescent="0.35">
      <c r="A92" s="42">
        <v>378.55</v>
      </c>
      <c r="B92" s="30">
        <v>68.709999999999994</v>
      </c>
    </row>
    <row r="93" spans="1:2" x14ac:dyDescent="0.35">
      <c r="A93" s="42">
        <v>342.61</v>
      </c>
      <c r="B93" s="30">
        <v>62.19</v>
      </c>
    </row>
    <row r="94" spans="1:2" x14ac:dyDescent="0.35">
      <c r="A94" s="42">
        <v>289.97000000000003</v>
      </c>
      <c r="B94" s="30">
        <v>56</v>
      </c>
    </row>
    <row r="95" spans="1:2" x14ac:dyDescent="0.35">
      <c r="A95" s="42">
        <v>274.24</v>
      </c>
      <c r="B95" s="30">
        <v>48.19</v>
      </c>
    </row>
    <row r="96" spans="1:2" x14ac:dyDescent="0.35">
      <c r="A96" s="42">
        <v>315.58</v>
      </c>
      <c r="B96" s="30">
        <v>47.53</v>
      </c>
    </row>
    <row r="97" spans="1:2" x14ac:dyDescent="0.35">
      <c r="A97" s="42">
        <v>258.24</v>
      </c>
      <c r="B97" s="30">
        <v>43.39</v>
      </c>
    </row>
    <row r="98" spans="1:2" x14ac:dyDescent="0.35">
      <c r="A98" s="42">
        <v>201.62</v>
      </c>
      <c r="B98" s="30">
        <v>31.93</v>
      </c>
    </row>
    <row r="99" spans="1:2" x14ac:dyDescent="0.35">
      <c r="A99" s="42">
        <v>206.16</v>
      </c>
      <c r="B99" s="30">
        <v>30.26</v>
      </c>
    </row>
    <row r="100" spans="1:2" x14ac:dyDescent="0.35">
      <c r="A100" s="42">
        <v>174.03</v>
      </c>
      <c r="B100" s="30">
        <v>29.91</v>
      </c>
    </row>
    <row r="101" spans="1:2" x14ac:dyDescent="0.35">
      <c r="A101" s="42">
        <v>174.45</v>
      </c>
      <c r="B101" s="30">
        <v>28.63</v>
      </c>
    </row>
    <row r="102" spans="1:2" x14ac:dyDescent="0.35">
      <c r="A102" s="42" t="s">
        <v>23</v>
      </c>
      <c r="B102" s="30">
        <v>17762.93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16"/>
  <sheetViews>
    <sheetView workbookViewId="0">
      <selection activeCell="B4" sqref="A3:B4"/>
    </sheetView>
  </sheetViews>
  <sheetFormatPr defaultRowHeight="14.5" x14ac:dyDescent="0.35"/>
  <cols>
    <col min="1" max="1" width="11.90625" customWidth="1"/>
    <col min="2" max="2" width="13.1796875" customWidth="1"/>
    <col min="3" max="42" width="7.36328125" customWidth="1"/>
    <col min="43" max="99" width="8.90625" bestFit="1" customWidth="1"/>
    <col min="100" max="100" width="10.7265625" bestFit="1" customWidth="1"/>
  </cols>
  <sheetData>
    <row r="3" spans="1:2" x14ac:dyDescent="0.35">
      <c r="A3" t="s">
        <v>33</v>
      </c>
      <c r="B3" t="s">
        <v>35</v>
      </c>
    </row>
    <row r="4" spans="1:2" x14ac:dyDescent="0.35">
      <c r="A4" s="30">
        <v>108515.26000000002</v>
      </c>
      <c r="B4" s="30">
        <v>17762.93</v>
      </c>
    </row>
    <row r="16" spans="1:2" x14ac:dyDescent="0.35">
      <c r="B16" t="s">
        <v>34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68"/>
  <sheetViews>
    <sheetView tabSelected="1" topLeftCell="A45" zoomScale="83" zoomScaleNormal="83" workbookViewId="0">
      <selection activeCell="L4" sqref="L4"/>
    </sheetView>
  </sheetViews>
  <sheetFormatPr defaultRowHeight="15" customHeight="1" x14ac:dyDescent="0.35"/>
  <cols>
    <col min="1" max="1" width="13.1796875" customWidth="1"/>
    <col min="2" max="2" width="16.6328125" style="1" customWidth="1"/>
    <col min="3" max="3" width="11.08984375" customWidth="1"/>
    <col min="4" max="4" width="13" customWidth="1"/>
    <col min="5" max="5" width="14.08984375" customWidth="1"/>
    <col min="6" max="6" width="12.08984375" customWidth="1"/>
    <col min="7" max="7" width="13.36328125" customWidth="1"/>
    <col min="8" max="8" width="15.36328125" customWidth="1"/>
    <col min="9" max="9" width="13.08984375" customWidth="1"/>
    <col min="10" max="10" width="20.453125" customWidth="1"/>
    <col min="12" max="12" width="13" bestFit="1" customWidth="1"/>
    <col min="13" max="13" width="11.90625" bestFit="1" customWidth="1"/>
  </cols>
  <sheetData>
    <row r="1" spans="1:13" ht="41.25" customHeight="1" x14ac:dyDescent="0.35">
      <c r="A1" s="41" t="s">
        <v>36</v>
      </c>
      <c r="B1" s="41"/>
      <c r="C1" s="41"/>
      <c r="D1" s="41"/>
      <c r="E1" s="41"/>
      <c r="F1" s="41"/>
      <c r="G1" s="41"/>
      <c r="H1" s="41"/>
      <c r="I1" s="41"/>
      <c r="J1" s="41"/>
    </row>
    <row r="2" spans="1:13" ht="15" customHeight="1" x14ac:dyDescent="0.35">
      <c r="A2" s="25" t="s">
        <v>0</v>
      </c>
      <c r="B2" s="26" t="s">
        <v>1</v>
      </c>
      <c r="C2" s="25" t="s">
        <v>2</v>
      </c>
      <c r="D2" s="25" t="s">
        <v>3</v>
      </c>
      <c r="E2" s="25" t="s">
        <v>4</v>
      </c>
      <c r="F2" s="25" t="s">
        <v>5</v>
      </c>
      <c r="G2" s="25" t="s">
        <v>6</v>
      </c>
      <c r="H2" s="25" t="s">
        <v>7</v>
      </c>
      <c r="I2" s="25" t="s">
        <v>8</v>
      </c>
      <c r="J2" s="27" t="s">
        <v>9</v>
      </c>
    </row>
    <row r="3" spans="1:13" ht="14.5" customHeight="1" x14ac:dyDescent="0.35">
      <c r="A3" s="2">
        <v>1001</v>
      </c>
      <c r="B3" s="3">
        <v>44927</v>
      </c>
      <c r="C3" s="2" t="s">
        <v>10</v>
      </c>
      <c r="D3" s="2" t="s">
        <v>11</v>
      </c>
      <c r="E3" s="2" t="s">
        <v>12</v>
      </c>
      <c r="F3" s="4">
        <v>1658.81</v>
      </c>
      <c r="G3" s="2">
        <v>1</v>
      </c>
      <c r="H3" s="5">
        <v>0.25</v>
      </c>
      <c r="I3" s="6">
        <v>177.54</v>
      </c>
      <c r="J3" s="23" t="s">
        <v>13</v>
      </c>
    </row>
    <row r="4" spans="1:13" ht="14.5" customHeight="1" x14ac:dyDescent="0.35">
      <c r="A4" s="2">
        <v>1002</v>
      </c>
      <c r="B4" s="3">
        <v>44928</v>
      </c>
      <c r="C4" s="2" t="s">
        <v>14</v>
      </c>
      <c r="D4" s="2" t="s">
        <v>15</v>
      </c>
      <c r="E4" s="2" t="s">
        <v>16</v>
      </c>
      <c r="F4" s="4">
        <v>1337.82</v>
      </c>
      <c r="G4" s="2">
        <v>3</v>
      </c>
      <c r="H4" s="5">
        <v>0.27</v>
      </c>
      <c r="I4" s="6">
        <v>188.59</v>
      </c>
      <c r="J4" s="23" t="s">
        <v>13</v>
      </c>
    </row>
    <row r="5" spans="1:13" ht="14.5" customHeight="1" x14ac:dyDescent="0.35">
      <c r="A5" s="2">
        <v>1003</v>
      </c>
      <c r="B5" s="3">
        <v>44929</v>
      </c>
      <c r="C5" s="2" t="s">
        <v>17</v>
      </c>
      <c r="D5" s="2" t="s">
        <v>18</v>
      </c>
      <c r="E5" s="2" t="s">
        <v>16</v>
      </c>
      <c r="F5" s="4">
        <v>492.7</v>
      </c>
      <c r="G5" s="2">
        <v>2</v>
      </c>
      <c r="H5" s="5">
        <v>0.19</v>
      </c>
      <c r="I5" s="6">
        <v>77.069999999999993</v>
      </c>
      <c r="J5" s="23" t="s">
        <v>13</v>
      </c>
    </row>
    <row r="6" spans="1:13" ht="14.5" customHeight="1" x14ac:dyDescent="0.35">
      <c r="A6" s="2">
        <v>1004</v>
      </c>
      <c r="B6" s="3">
        <v>44930</v>
      </c>
      <c r="C6" s="2" t="s">
        <v>10</v>
      </c>
      <c r="D6" s="2" t="s">
        <v>15</v>
      </c>
      <c r="E6" s="2" t="s">
        <v>16</v>
      </c>
      <c r="F6" s="4">
        <v>620.53</v>
      </c>
      <c r="G6" s="2">
        <v>4</v>
      </c>
      <c r="H6" s="5">
        <v>0.16</v>
      </c>
      <c r="I6" s="6">
        <v>100.66</v>
      </c>
      <c r="J6" s="23" t="s">
        <v>13</v>
      </c>
    </row>
    <row r="7" spans="1:13" ht="17.25" customHeight="1" x14ac:dyDescent="0.35">
      <c r="A7" s="2">
        <v>1005</v>
      </c>
      <c r="B7" s="3">
        <v>44931</v>
      </c>
      <c r="C7" s="2" t="s">
        <v>10</v>
      </c>
      <c r="D7" s="2" t="s">
        <v>18</v>
      </c>
      <c r="E7" s="2" t="s">
        <v>12</v>
      </c>
      <c r="F7" s="4">
        <v>507.72</v>
      </c>
      <c r="G7" s="2">
        <v>9</v>
      </c>
      <c r="H7" s="5">
        <v>0.13</v>
      </c>
      <c r="I7" s="6">
        <v>85.3</v>
      </c>
      <c r="J7" s="23" t="s">
        <v>13</v>
      </c>
    </row>
    <row r="8" spans="1:13" ht="14.5" customHeight="1" x14ac:dyDescent="0.35">
      <c r="A8" s="2">
        <v>1006</v>
      </c>
      <c r="B8" s="3">
        <v>44932</v>
      </c>
      <c r="C8" s="2" t="s">
        <v>14</v>
      </c>
      <c r="D8" s="2" t="s">
        <v>18</v>
      </c>
      <c r="E8" s="2" t="s">
        <v>12</v>
      </c>
      <c r="F8" s="4">
        <v>816.79</v>
      </c>
      <c r="G8" s="2">
        <v>6</v>
      </c>
      <c r="H8" s="5">
        <v>0.17</v>
      </c>
      <c r="I8" s="6">
        <v>130.91</v>
      </c>
      <c r="J8" s="23" t="s">
        <v>13</v>
      </c>
    </row>
    <row r="9" spans="1:13" ht="14.5" customHeight="1" x14ac:dyDescent="0.35">
      <c r="A9" s="2">
        <v>1007</v>
      </c>
      <c r="B9" s="3">
        <v>44933</v>
      </c>
      <c r="C9" s="2" t="s">
        <v>17</v>
      </c>
      <c r="D9" s="2" t="s">
        <v>19</v>
      </c>
      <c r="E9" s="2" t="s">
        <v>16</v>
      </c>
      <c r="F9" s="4">
        <v>174.03</v>
      </c>
      <c r="G9" s="2">
        <v>1</v>
      </c>
      <c r="H9" s="5">
        <v>0.11</v>
      </c>
      <c r="I9" s="6">
        <v>29.91</v>
      </c>
      <c r="J9" s="23" t="s">
        <v>13</v>
      </c>
    </row>
    <row r="10" spans="1:13" ht="14.5" customHeight="1" x14ac:dyDescent="0.35">
      <c r="A10" s="2">
        <v>1008</v>
      </c>
      <c r="B10" s="3">
        <v>44934</v>
      </c>
      <c r="C10" s="2" t="s">
        <v>17</v>
      </c>
      <c r="D10" s="2" t="s">
        <v>18</v>
      </c>
      <c r="E10" s="2" t="s">
        <v>16</v>
      </c>
      <c r="F10" s="4">
        <v>1274.68</v>
      </c>
      <c r="G10" s="2">
        <v>8</v>
      </c>
      <c r="H10" s="5">
        <v>0.12</v>
      </c>
      <c r="I10" s="6">
        <v>216.61</v>
      </c>
      <c r="J10" s="23" t="s">
        <v>13</v>
      </c>
    </row>
    <row r="11" spans="1:13" ht="14.5" customHeight="1" x14ac:dyDescent="0.35">
      <c r="A11" s="2">
        <v>1009</v>
      </c>
      <c r="B11" s="3">
        <v>44935</v>
      </c>
      <c r="C11" s="2" t="s">
        <v>10</v>
      </c>
      <c r="D11" s="2" t="s">
        <v>15</v>
      </c>
      <c r="E11" s="2" t="s">
        <v>12</v>
      </c>
      <c r="F11" s="4">
        <v>739.45</v>
      </c>
      <c r="G11" s="2">
        <v>7</v>
      </c>
      <c r="H11" s="5">
        <v>0.16</v>
      </c>
      <c r="I11" s="6">
        <v>119.95</v>
      </c>
      <c r="J11" s="23" t="s">
        <v>13</v>
      </c>
    </row>
    <row r="12" spans="1:13" ht="14.5" customHeight="1" x14ac:dyDescent="0.35">
      <c r="A12" s="2">
        <v>1010</v>
      </c>
      <c r="B12" s="3">
        <v>44936</v>
      </c>
      <c r="C12" s="2" t="s">
        <v>20</v>
      </c>
      <c r="D12" s="2" t="s">
        <v>18</v>
      </c>
      <c r="E12" s="2" t="s">
        <v>16</v>
      </c>
      <c r="F12" s="4">
        <v>1345.87</v>
      </c>
      <c r="G12" s="2">
        <v>3</v>
      </c>
      <c r="H12" s="5">
        <v>0.02</v>
      </c>
      <c r="I12" s="6">
        <v>254.7</v>
      </c>
      <c r="J12" s="23" t="s">
        <v>13</v>
      </c>
    </row>
    <row r="13" spans="1:13" ht="14.5" customHeight="1" x14ac:dyDescent="0.35">
      <c r="A13" s="2">
        <v>1011</v>
      </c>
      <c r="B13" s="3">
        <v>44937</v>
      </c>
      <c r="C13" s="2" t="s">
        <v>10</v>
      </c>
      <c r="D13" s="2" t="s">
        <v>19</v>
      </c>
      <c r="E13" s="2" t="s">
        <v>12</v>
      </c>
      <c r="F13" s="4">
        <v>832.25</v>
      </c>
      <c r="G13" s="2">
        <v>1</v>
      </c>
      <c r="H13" s="5">
        <v>7.0000000000000007E-2</v>
      </c>
      <c r="I13" s="6">
        <v>149.46</v>
      </c>
      <c r="J13" s="23" t="s">
        <v>13</v>
      </c>
      <c r="L13" s="29"/>
      <c r="M13" s="30"/>
    </row>
    <row r="14" spans="1:13" ht="14.5" customHeight="1" x14ac:dyDescent="0.35">
      <c r="A14" s="2">
        <v>1012</v>
      </c>
      <c r="B14" s="3">
        <v>44938</v>
      </c>
      <c r="C14" s="2" t="s">
        <v>10</v>
      </c>
      <c r="D14" s="2" t="s">
        <v>19</v>
      </c>
      <c r="E14" s="2" t="s">
        <v>16</v>
      </c>
      <c r="F14" s="4">
        <v>1395.07</v>
      </c>
      <c r="G14" s="2">
        <v>5</v>
      </c>
      <c r="H14" s="5">
        <v>0.16</v>
      </c>
      <c r="I14" s="6">
        <v>226.29</v>
      </c>
      <c r="J14" s="23" t="s">
        <v>13</v>
      </c>
      <c r="L14" s="36"/>
      <c r="M14" s="30"/>
    </row>
    <row r="15" spans="1:13" ht="14.5" customHeight="1" x14ac:dyDescent="0.35">
      <c r="A15" s="2">
        <v>1013</v>
      </c>
      <c r="B15" s="3">
        <v>44939</v>
      </c>
      <c r="C15" s="2" t="s">
        <v>10</v>
      </c>
      <c r="D15" s="2" t="s">
        <v>15</v>
      </c>
      <c r="E15" s="2" t="s">
        <v>12</v>
      </c>
      <c r="F15" s="4">
        <v>747.19</v>
      </c>
      <c r="G15" s="2">
        <v>4</v>
      </c>
      <c r="H15" s="5">
        <v>0.13</v>
      </c>
      <c r="I15" s="6">
        <v>125.53</v>
      </c>
      <c r="J15" s="23" t="s">
        <v>13</v>
      </c>
      <c r="L15" s="36"/>
      <c r="M15" s="30"/>
    </row>
    <row r="16" spans="1:13" ht="14.5" customHeight="1" x14ac:dyDescent="0.35">
      <c r="A16" s="2">
        <v>1014</v>
      </c>
      <c r="B16" s="3">
        <v>44940</v>
      </c>
      <c r="C16" s="2" t="s">
        <v>10</v>
      </c>
      <c r="D16" s="2" t="s">
        <v>21</v>
      </c>
      <c r="E16" s="2" t="s">
        <v>16</v>
      </c>
      <c r="F16" s="4">
        <v>595.32000000000005</v>
      </c>
      <c r="G16" s="2">
        <v>8</v>
      </c>
      <c r="H16" s="5">
        <v>0.1</v>
      </c>
      <c r="I16" s="6">
        <v>103.46</v>
      </c>
      <c r="J16" s="23" t="s">
        <v>13</v>
      </c>
      <c r="L16" s="36"/>
      <c r="M16" s="30"/>
    </row>
    <row r="17" spans="1:13" ht="14.5" customHeight="1" x14ac:dyDescent="0.35">
      <c r="A17" s="2">
        <v>1015</v>
      </c>
      <c r="B17" s="3">
        <v>44941</v>
      </c>
      <c r="C17" s="2" t="s">
        <v>14</v>
      </c>
      <c r="D17" s="2" t="s">
        <v>21</v>
      </c>
      <c r="E17" s="2" t="s">
        <v>12</v>
      </c>
      <c r="F17" s="4">
        <v>1042.47</v>
      </c>
      <c r="G17" s="2">
        <v>1</v>
      </c>
      <c r="H17" s="5">
        <v>0.22</v>
      </c>
      <c r="I17" s="6">
        <v>157.02000000000001</v>
      </c>
      <c r="J17" s="23" t="s">
        <v>13</v>
      </c>
      <c r="L17" s="36"/>
      <c r="M17" s="30"/>
    </row>
    <row r="18" spans="1:13" ht="14.5" customHeight="1" x14ac:dyDescent="0.35">
      <c r="A18" s="2">
        <v>1016</v>
      </c>
      <c r="B18" s="3">
        <v>44942</v>
      </c>
      <c r="C18" s="2" t="s">
        <v>17</v>
      </c>
      <c r="D18" s="2" t="s">
        <v>18</v>
      </c>
      <c r="E18" s="2" t="s">
        <v>16</v>
      </c>
      <c r="F18" s="4">
        <v>1416.49</v>
      </c>
      <c r="G18" s="2">
        <v>1</v>
      </c>
      <c r="H18" s="5">
        <v>0.21</v>
      </c>
      <c r="I18" s="6">
        <v>216.09</v>
      </c>
      <c r="J18" s="23" t="s">
        <v>13</v>
      </c>
      <c r="L18" s="29"/>
      <c r="M18" s="30"/>
    </row>
    <row r="19" spans="1:13" ht="14.5" customHeight="1" x14ac:dyDescent="0.35">
      <c r="A19" s="2">
        <v>1017</v>
      </c>
      <c r="B19" s="3">
        <v>44943</v>
      </c>
      <c r="C19" s="2" t="s">
        <v>14</v>
      </c>
      <c r="D19" s="2" t="s">
        <v>11</v>
      </c>
      <c r="E19" s="2" t="s">
        <v>12</v>
      </c>
      <c r="F19" s="4">
        <v>761.84</v>
      </c>
      <c r="G19" s="2">
        <v>4</v>
      </c>
      <c r="H19" s="5">
        <v>0.05</v>
      </c>
      <c r="I19" s="6">
        <v>139.76</v>
      </c>
      <c r="J19" s="23" t="s">
        <v>13</v>
      </c>
      <c r="L19" s="36"/>
      <c r="M19" s="30"/>
    </row>
    <row r="20" spans="1:13" ht="14.5" customHeight="1" x14ac:dyDescent="0.35">
      <c r="A20" s="2">
        <v>1018</v>
      </c>
      <c r="B20" s="3">
        <v>44944</v>
      </c>
      <c r="C20" s="2" t="s">
        <v>14</v>
      </c>
      <c r="D20" s="2" t="s">
        <v>18</v>
      </c>
      <c r="E20" s="2" t="s">
        <v>12</v>
      </c>
      <c r="F20" s="4">
        <v>1879.63</v>
      </c>
      <c r="G20" s="2">
        <v>8</v>
      </c>
      <c r="H20" s="5">
        <v>0.26</v>
      </c>
      <c r="I20" s="6">
        <v>268.60000000000002</v>
      </c>
      <c r="J20" s="23" t="s">
        <v>13</v>
      </c>
      <c r="L20" s="36"/>
      <c r="M20" s="30"/>
    </row>
    <row r="21" spans="1:13" ht="14.5" customHeight="1" x14ac:dyDescent="0.35">
      <c r="A21" s="2">
        <v>1019</v>
      </c>
      <c r="B21" s="3">
        <v>44945</v>
      </c>
      <c r="C21" s="2" t="s">
        <v>14</v>
      </c>
      <c r="D21" s="2" t="s">
        <v>15</v>
      </c>
      <c r="E21" s="2" t="s">
        <v>16</v>
      </c>
      <c r="F21" s="4">
        <v>174.45</v>
      </c>
      <c r="G21" s="2">
        <v>5</v>
      </c>
      <c r="H21" s="5">
        <v>0.15</v>
      </c>
      <c r="I21" s="6">
        <v>28.63</v>
      </c>
      <c r="J21" s="23" t="s">
        <v>13</v>
      </c>
      <c r="L21" s="36"/>
      <c r="M21" s="30"/>
    </row>
    <row r="22" spans="1:13" ht="14.5" customHeight="1" x14ac:dyDescent="0.35">
      <c r="A22" s="2">
        <v>1020</v>
      </c>
      <c r="B22" s="3">
        <v>44946</v>
      </c>
      <c r="C22" s="2" t="s">
        <v>10</v>
      </c>
      <c r="D22" s="2" t="s">
        <v>15</v>
      </c>
      <c r="E22" s="2" t="s">
        <v>16</v>
      </c>
      <c r="F22" s="4">
        <v>894.1</v>
      </c>
      <c r="G22" s="2">
        <v>2</v>
      </c>
      <c r="H22" s="5">
        <v>0.22</v>
      </c>
      <c r="I22" s="6">
        <v>134.66999999999999</v>
      </c>
      <c r="J22" s="23" t="s">
        <v>13</v>
      </c>
      <c r="L22" s="36"/>
      <c r="M22" s="30"/>
    </row>
    <row r="23" spans="1:13" ht="14.5" customHeight="1" x14ac:dyDescent="0.35">
      <c r="A23" s="2">
        <v>1021</v>
      </c>
      <c r="B23" s="3">
        <v>44947</v>
      </c>
      <c r="C23" s="2" t="s">
        <v>20</v>
      </c>
      <c r="D23" s="2" t="s">
        <v>15</v>
      </c>
      <c r="E23" s="2" t="s">
        <v>12</v>
      </c>
      <c r="F23" s="4">
        <v>1938.4</v>
      </c>
      <c r="G23" s="2">
        <v>6</v>
      </c>
      <c r="H23" s="5">
        <v>0.17</v>
      </c>
      <c r="I23" s="6">
        <v>310.68</v>
      </c>
      <c r="J23" s="23" t="s">
        <v>13</v>
      </c>
      <c r="L23" s="29"/>
      <c r="M23" s="30"/>
    </row>
    <row r="24" spans="1:13" ht="14.5" customHeight="1" x14ac:dyDescent="0.35">
      <c r="A24" s="2">
        <v>1022</v>
      </c>
      <c r="B24" s="3">
        <v>44948</v>
      </c>
      <c r="C24" s="2" t="s">
        <v>17</v>
      </c>
      <c r="D24" s="2" t="s">
        <v>15</v>
      </c>
      <c r="E24" s="2" t="s">
        <v>16</v>
      </c>
      <c r="F24" s="4">
        <v>1141.1500000000001</v>
      </c>
      <c r="G24" s="2">
        <v>5</v>
      </c>
      <c r="H24" s="5">
        <v>0.3</v>
      </c>
      <c r="I24" s="6">
        <v>154.25</v>
      </c>
      <c r="J24" s="23" t="s">
        <v>13</v>
      </c>
      <c r="L24" s="36"/>
      <c r="M24" s="30"/>
    </row>
    <row r="25" spans="1:13" ht="14.5" customHeight="1" x14ac:dyDescent="0.35">
      <c r="A25" s="2">
        <v>1023</v>
      </c>
      <c r="B25" s="3">
        <v>44949</v>
      </c>
      <c r="C25" s="2" t="s">
        <v>20</v>
      </c>
      <c r="D25" s="2" t="s">
        <v>15</v>
      </c>
      <c r="E25" s="2" t="s">
        <v>12</v>
      </c>
      <c r="F25" s="4">
        <v>904.59</v>
      </c>
      <c r="G25" s="2">
        <v>2</v>
      </c>
      <c r="H25" s="5">
        <v>0.23</v>
      </c>
      <c r="I25" s="6">
        <v>134.51</v>
      </c>
      <c r="J25" s="23" t="s">
        <v>13</v>
      </c>
      <c r="L25" s="36"/>
      <c r="M25" s="30"/>
    </row>
    <row r="26" spans="1:13" ht="14.5" customHeight="1" x14ac:dyDescent="0.35">
      <c r="A26" s="2">
        <v>1024</v>
      </c>
      <c r="B26" s="3">
        <v>44950</v>
      </c>
      <c r="C26" s="2" t="s">
        <v>14</v>
      </c>
      <c r="D26" s="2" t="s">
        <v>19</v>
      </c>
      <c r="E26" s="2" t="s">
        <v>16</v>
      </c>
      <c r="F26" s="4">
        <v>1180.19</v>
      </c>
      <c r="G26" s="2">
        <v>3</v>
      </c>
      <c r="H26" s="5">
        <v>0.21</v>
      </c>
      <c r="I26" s="6">
        <v>180.04</v>
      </c>
      <c r="J26" s="23" t="s">
        <v>13</v>
      </c>
      <c r="L26" s="36"/>
      <c r="M26" s="30"/>
    </row>
    <row r="27" spans="1:13" ht="14.5" customHeight="1" x14ac:dyDescent="0.35">
      <c r="A27" s="2">
        <v>1025</v>
      </c>
      <c r="B27" s="3">
        <v>44951</v>
      </c>
      <c r="C27" s="2" t="s">
        <v>14</v>
      </c>
      <c r="D27" s="2" t="s">
        <v>21</v>
      </c>
      <c r="E27" s="2" t="s">
        <v>12</v>
      </c>
      <c r="F27" s="4">
        <v>1194.26</v>
      </c>
      <c r="G27" s="2">
        <v>9</v>
      </c>
      <c r="H27" s="5">
        <v>0.23</v>
      </c>
      <c r="I27" s="6">
        <v>177.58</v>
      </c>
      <c r="J27" s="23" t="s">
        <v>13</v>
      </c>
      <c r="L27" s="36"/>
      <c r="M27" s="30"/>
    </row>
    <row r="28" spans="1:13" ht="14.5" customHeight="1" x14ac:dyDescent="0.35">
      <c r="A28" s="2">
        <v>1026</v>
      </c>
      <c r="B28" s="3">
        <v>44952</v>
      </c>
      <c r="C28" s="2" t="s">
        <v>20</v>
      </c>
      <c r="D28" s="2" t="s">
        <v>15</v>
      </c>
      <c r="E28" s="2" t="s">
        <v>12</v>
      </c>
      <c r="F28" s="4">
        <v>1490.13</v>
      </c>
      <c r="G28" s="2">
        <v>7</v>
      </c>
      <c r="H28" s="5">
        <v>0.04</v>
      </c>
      <c r="I28" s="6">
        <v>276.24</v>
      </c>
      <c r="J28" s="23" t="s">
        <v>13</v>
      </c>
      <c r="L28" s="29"/>
      <c r="M28" s="30"/>
    </row>
    <row r="29" spans="1:13" ht="14.5" customHeight="1" x14ac:dyDescent="0.35">
      <c r="A29" s="2">
        <v>1027</v>
      </c>
      <c r="B29" s="3">
        <v>44953</v>
      </c>
      <c r="C29" s="2" t="s">
        <v>20</v>
      </c>
      <c r="D29" s="2" t="s">
        <v>11</v>
      </c>
      <c r="E29" s="2" t="s">
        <v>12</v>
      </c>
      <c r="F29" s="4">
        <v>342.61</v>
      </c>
      <c r="G29" s="2">
        <v>7</v>
      </c>
      <c r="H29" s="5">
        <v>0.06</v>
      </c>
      <c r="I29" s="6">
        <v>62.19</v>
      </c>
      <c r="J29" s="23" t="s">
        <v>13</v>
      </c>
      <c r="L29" s="36"/>
      <c r="M29" s="30"/>
    </row>
    <row r="30" spans="1:13" ht="14.5" customHeight="1" x14ac:dyDescent="0.35">
      <c r="A30" s="2">
        <v>1028</v>
      </c>
      <c r="B30" s="3">
        <v>44954</v>
      </c>
      <c r="C30" s="2" t="s">
        <v>20</v>
      </c>
      <c r="D30" s="2" t="s">
        <v>11</v>
      </c>
      <c r="E30" s="2" t="s">
        <v>12</v>
      </c>
      <c r="F30" s="4">
        <v>575.03</v>
      </c>
      <c r="G30" s="2">
        <v>6</v>
      </c>
      <c r="H30" s="5">
        <v>0.21</v>
      </c>
      <c r="I30" s="6">
        <v>87.72</v>
      </c>
      <c r="J30" s="23" t="s">
        <v>13</v>
      </c>
      <c r="L30" s="36"/>
      <c r="M30" s="30"/>
    </row>
    <row r="31" spans="1:13" ht="14.5" customHeight="1" x14ac:dyDescent="0.35">
      <c r="A31" s="2">
        <v>1029</v>
      </c>
      <c r="B31" s="3">
        <v>44955</v>
      </c>
      <c r="C31" s="2" t="s">
        <v>14</v>
      </c>
      <c r="D31" s="2" t="s">
        <v>11</v>
      </c>
      <c r="E31" s="2" t="s">
        <v>12</v>
      </c>
      <c r="F31" s="4">
        <v>1203.03</v>
      </c>
      <c r="G31" s="2">
        <v>8</v>
      </c>
      <c r="H31" s="5">
        <v>0.15</v>
      </c>
      <c r="I31" s="6">
        <v>197.47</v>
      </c>
      <c r="J31" s="23" t="s">
        <v>13</v>
      </c>
      <c r="L31" s="36"/>
      <c r="M31" s="30"/>
    </row>
    <row r="32" spans="1:13" ht="14.5" customHeight="1" x14ac:dyDescent="0.35">
      <c r="A32" s="2">
        <v>1030</v>
      </c>
      <c r="B32" s="3">
        <v>44956</v>
      </c>
      <c r="C32" s="2" t="s">
        <v>14</v>
      </c>
      <c r="D32" s="2" t="s">
        <v>11</v>
      </c>
      <c r="E32" s="2" t="s">
        <v>12</v>
      </c>
      <c r="F32" s="4">
        <v>1747.52</v>
      </c>
      <c r="G32" s="2">
        <v>4</v>
      </c>
      <c r="H32" s="5">
        <v>0.23</v>
      </c>
      <c r="I32" s="6">
        <v>259.83999999999997</v>
      </c>
      <c r="J32" s="23" t="s">
        <v>13</v>
      </c>
      <c r="L32" s="36"/>
      <c r="M32" s="30"/>
    </row>
    <row r="33" spans="1:13" ht="14.5" customHeight="1" x14ac:dyDescent="0.35">
      <c r="A33" s="2">
        <v>1031</v>
      </c>
      <c r="B33" s="3">
        <v>44957</v>
      </c>
      <c r="C33" s="2" t="s">
        <v>17</v>
      </c>
      <c r="D33" s="2" t="s">
        <v>19</v>
      </c>
      <c r="E33" s="2" t="s">
        <v>16</v>
      </c>
      <c r="F33" s="4">
        <v>1167.55</v>
      </c>
      <c r="G33" s="2">
        <v>8</v>
      </c>
      <c r="H33" s="5">
        <v>0.03</v>
      </c>
      <c r="I33" s="6">
        <v>218.7</v>
      </c>
      <c r="J33" s="23" t="s">
        <v>13</v>
      </c>
      <c r="L33" s="29"/>
      <c r="M33" s="30"/>
    </row>
    <row r="34" spans="1:13" ht="14.5" customHeight="1" x14ac:dyDescent="0.35">
      <c r="A34" s="2">
        <v>1032</v>
      </c>
      <c r="B34" s="3">
        <v>44958</v>
      </c>
      <c r="C34" s="2" t="s">
        <v>17</v>
      </c>
      <c r="D34" s="2" t="s">
        <v>11</v>
      </c>
      <c r="E34" s="2" t="s">
        <v>16</v>
      </c>
      <c r="F34" s="4">
        <v>553.33000000000004</v>
      </c>
      <c r="G34" s="2">
        <v>4</v>
      </c>
      <c r="H34" s="5">
        <v>0.16</v>
      </c>
      <c r="I34" s="6">
        <v>89.76</v>
      </c>
      <c r="J34" s="23" t="s">
        <v>13</v>
      </c>
      <c r="L34" s="36"/>
      <c r="M34" s="30"/>
    </row>
    <row r="35" spans="1:13" ht="14.5" customHeight="1" x14ac:dyDescent="0.35">
      <c r="A35" s="2">
        <v>1033</v>
      </c>
      <c r="B35" s="3">
        <v>44959</v>
      </c>
      <c r="C35" s="2" t="s">
        <v>14</v>
      </c>
      <c r="D35" s="2" t="s">
        <v>15</v>
      </c>
      <c r="E35" s="2" t="s">
        <v>16</v>
      </c>
      <c r="F35" s="4">
        <v>1391.71</v>
      </c>
      <c r="G35" s="2">
        <v>8</v>
      </c>
      <c r="H35" s="5">
        <v>0.11</v>
      </c>
      <c r="I35" s="6">
        <v>239.19</v>
      </c>
      <c r="J35" s="23" t="s">
        <v>13</v>
      </c>
      <c r="L35" s="36"/>
      <c r="M35" s="30"/>
    </row>
    <row r="36" spans="1:13" ht="14.5" customHeight="1" x14ac:dyDescent="0.35">
      <c r="A36" s="2">
        <v>1034</v>
      </c>
      <c r="B36" s="3">
        <v>44960</v>
      </c>
      <c r="C36" s="2" t="s">
        <v>20</v>
      </c>
      <c r="D36" s="2" t="s">
        <v>18</v>
      </c>
      <c r="E36" s="2" t="s">
        <v>12</v>
      </c>
      <c r="F36" s="4">
        <v>1505.83</v>
      </c>
      <c r="G36" s="2">
        <v>9</v>
      </c>
      <c r="H36" s="5">
        <v>0.14000000000000001</v>
      </c>
      <c r="I36" s="6">
        <v>250.08</v>
      </c>
      <c r="J36" s="23" t="s">
        <v>13</v>
      </c>
      <c r="L36" s="36"/>
      <c r="M36" s="30"/>
    </row>
    <row r="37" spans="1:13" ht="14.5" customHeight="1" x14ac:dyDescent="0.35">
      <c r="A37" s="2">
        <v>1035</v>
      </c>
      <c r="B37" s="3">
        <v>44961</v>
      </c>
      <c r="C37" s="2" t="s">
        <v>20</v>
      </c>
      <c r="D37" s="2" t="s">
        <v>11</v>
      </c>
      <c r="E37" s="2" t="s">
        <v>12</v>
      </c>
      <c r="F37" s="4">
        <v>552.65</v>
      </c>
      <c r="G37" s="2">
        <v>3</v>
      </c>
      <c r="H37" s="5">
        <v>0.18</v>
      </c>
      <c r="I37" s="6">
        <v>87.51</v>
      </c>
      <c r="J37" s="23" t="s">
        <v>13</v>
      </c>
      <c r="L37" s="36"/>
      <c r="M37" s="30"/>
    </row>
    <row r="38" spans="1:13" ht="14.5" customHeight="1" x14ac:dyDescent="0.35">
      <c r="A38" s="2">
        <v>1036</v>
      </c>
      <c r="B38" s="3">
        <v>44962</v>
      </c>
      <c r="C38" s="2" t="s">
        <v>17</v>
      </c>
      <c r="D38" s="2" t="s">
        <v>19</v>
      </c>
      <c r="E38" s="2" t="s">
        <v>12</v>
      </c>
      <c r="F38" s="4">
        <v>817.68</v>
      </c>
      <c r="G38" s="2">
        <v>3</v>
      </c>
      <c r="H38" s="5">
        <v>0.15</v>
      </c>
      <c r="I38" s="6">
        <v>134.21</v>
      </c>
      <c r="J38" s="23" t="s">
        <v>13</v>
      </c>
      <c r="L38" s="29"/>
      <c r="M38" s="30"/>
    </row>
    <row r="39" spans="1:13" ht="14.5" customHeight="1" x14ac:dyDescent="0.35">
      <c r="A39" s="2">
        <v>1037</v>
      </c>
      <c r="B39" s="3">
        <v>44963</v>
      </c>
      <c r="C39" s="2" t="s">
        <v>14</v>
      </c>
      <c r="D39" s="2" t="s">
        <v>19</v>
      </c>
      <c r="E39" s="2" t="s">
        <v>12</v>
      </c>
      <c r="F39" s="4">
        <v>1115.22</v>
      </c>
      <c r="G39" s="2">
        <v>2</v>
      </c>
      <c r="H39" s="5">
        <v>0.16</v>
      </c>
      <c r="I39" s="6">
        <v>180.9</v>
      </c>
      <c r="J39" s="23" t="s">
        <v>13</v>
      </c>
    </row>
    <row r="40" spans="1:13" ht="14.5" customHeight="1" x14ac:dyDescent="0.35">
      <c r="A40" s="2">
        <v>1038</v>
      </c>
      <c r="B40" s="3">
        <v>44964</v>
      </c>
      <c r="C40" s="2" t="s">
        <v>17</v>
      </c>
      <c r="D40" s="2" t="s">
        <v>11</v>
      </c>
      <c r="E40" s="2" t="s">
        <v>16</v>
      </c>
      <c r="F40" s="4">
        <v>1043.47</v>
      </c>
      <c r="G40" s="2">
        <v>3</v>
      </c>
      <c r="H40" s="5">
        <v>0.15</v>
      </c>
      <c r="I40" s="6">
        <v>171.28</v>
      </c>
      <c r="J40" s="23" t="s">
        <v>13</v>
      </c>
    </row>
    <row r="41" spans="1:13" ht="14.5" customHeight="1" x14ac:dyDescent="0.35">
      <c r="A41" s="2">
        <v>1039</v>
      </c>
      <c r="B41" s="3">
        <v>44965</v>
      </c>
      <c r="C41" s="2" t="s">
        <v>17</v>
      </c>
      <c r="D41" s="2" t="s">
        <v>18</v>
      </c>
      <c r="E41" s="2" t="s">
        <v>16</v>
      </c>
      <c r="F41" s="4">
        <v>840.27</v>
      </c>
      <c r="G41" s="2">
        <v>3</v>
      </c>
      <c r="H41" s="5">
        <v>0.12</v>
      </c>
      <c r="I41" s="6">
        <v>142.79</v>
      </c>
      <c r="J41" s="23" t="s">
        <v>13</v>
      </c>
    </row>
    <row r="42" spans="1:13" ht="14.5" customHeight="1" x14ac:dyDescent="0.35">
      <c r="A42" s="2">
        <v>1040</v>
      </c>
      <c r="B42" s="3">
        <v>44966</v>
      </c>
      <c r="C42" s="2" t="s">
        <v>10</v>
      </c>
      <c r="D42" s="2" t="s">
        <v>11</v>
      </c>
      <c r="E42" s="2" t="s">
        <v>12</v>
      </c>
      <c r="F42" s="4">
        <v>665.51</v>
      </c>
      <c r="G42" s="2">
        <v>5</v>
      </c>
      <c r="H42" s="5">
        <v>0.23</v>
      </c>
      <c r="I42" s="6">
        <v>98.96</v>
      </c>
      <c r="J42" s="23" t="s">
        <v>13</v>
      </c>
    </row>
    <row r="43" spans="1:13" ht="14.5" customHeight="1" x14ac:dyDescent="0.35">
      <c r="A43" s="2">
        <v>1041</v>
      </c>
      <c r="B43" s="3">
        <v>44967</v>
      </c>
      <c r="C43" s="2" t="s">
        <v>10</v>
      </c>
      <c r="D43" s="2" t="s">
        <v>19</v>
      </c>
      <c r="E43" s="2" t="s">
        <v>16</v>
      </c>
      <c r="F43" s="4">
        <v>289.97000000000003</v>
      </c>
      <c r="G43" s="2">
        <v>5</v>
      </c>
      <c r="H43" s="5">
        <v>0</v>
      </c>
      <c r="I43" s="6">
        <v>56</v>
      </c>
      <c r="J43" s="23" t="s">
        <v>13</v>
      </c>
    </row>
    <row r="44" spans="1:13" ht="14.5" customHeight="1" x14ac:dyDescent="0.35">
      <c r="A44" s="2">
        <v>1042</v>
      </c>
      <c r="B44" s="3">
        <v>44968</v>
      </c>
      <c r="C44" s="2" t="s">
        <v>10</v>
      </c>
      <c r="D44" s="2" t="s">
        <v>21</v>
      </c>
      <c r="E44" s="2" t="s">
        <v>16</v>
      </c>
      <c r="F44" s="4">
        <v>201.62</v>
      </c>
      <c r="G44" s="2">
        <v>2</v>
      </c>
      <c r="H44" s="5">
        <v>0.18</v>
      </c>
      <c r="I44" s="6">
        <v>31.93</v>
      </c>
      <c r="J44" s="23" t="s">
        <v>13</v>
      </c>
    </row>
    <row r="45" spans="1:13" ht="14.5" customHeight="1" x14ac:dyDescent="0.35">
      <c r="A45" s="2">
        <v>1043</v>
      </c>
      <c r="B45" s="3">
        <v>44969</v>
      </c>
      <c r="C45" s="2" t="s">
        <v>20</v>
      </c>
      <c r="D45" s="2" t="s">
        <v>15</v>
      </c>
      <c r="E45" s="2" t="s">
        <v>12</v>
      </c>
      <c r="F45" s="4">
        <v>1921.23</v>
      </c>
      <c r="G45" s="2">
        <v>6</v>
      </c>
      <c r="H45" s="5">
        <v>0.17</v>
      </c>
      <c r="I45" s="6">
        <v>307.93</v>
      </c>
      <c r="J45" s="23" t="s">
        <v>13</v>
      </c>
    </row>
    <row r="46" spans="1:13" ht="14.5" customHeight="1" x14ac:dyDescent="0.35">
      <c r="A46" s="2">
        <v>1044</v>
      </c>
      <c r="B46" s="3">
        <v>44970</v>
      </c>
      <c r="C46" s="2" t="s">
        <v>14</v>
      </c>
      <c r="D46" s="2" t="s">
        <v>19</v>
      </c>
      <c r="E46" s="2" t="s">
        <v>16</v>
      </c>
      <c r="F46" s="4">
        <v>1709.57</v>
      </c>
      <c r="G46" s="2">
        <v>5</v>
      </c>
      <c r="H46" s="5">
        <v>0.21</v>
      </c>
      <c r="I46" s="6">
        <v>260.8</v>
      </c>
      <c r="J46" s="23" t="s">
        <v>13</v>
      </c>
    </row>
    <row r="47" spans="1:13" ht="14.5" customHeight="1" x14ac:dyDescent="0.35">
      <c r="A47" s="2">
        <v>1045</v>
      </c>
      <c r="B47" s="3">
        <v>44971</v>
      </c>
      <c r="C47" s="2" t="s">
        <v>14</v>
      </c>
      <c r="D47" s="2" t="s">
        <v>11</v>
      </c>
      <c r="E47" s="2" t="s">
        <v>12</v>
      </c>
      <c r="F47" s="4">
        <v>774.32</v>
      </c>
      <c r="G47" s="2">
        <v>6</v>
      </c>
      <c r="H47" s="5">
        <v>0.18</v>
      </c>
      <c r="I47" s="6">
        <v>122.61</v>
      </c>
      <c r="J47" s="23" t="s">
        <v>13</v>
      </c>
    </row>
    <row r="48" spans="1:13" ht="14.5" customHeight="1" x14ac:dyDescent="0.35">
      <c r="A48" s="2">
        <v>1046</v>
      </c>
      <c r="B48" s="3">
        <v>44972</v>
      </c>
      <c r="C48" s="2" t="s">
        <v>14</v>
      </c>
      <c r="D48" s="2" t="s">
        <v>15</v>
      </c>
      <c r="E48" s="2" t="s">
        <v>16</v>
      </c>
      <c r="F48" s="4">
        <v>1917.92</v>
      </c>
      <c r="G48" s="2">
        <v>1</v>
      </c>
      <c r="H48" s="5">
        <v>0.25</v>
      </c>
      <c r="I48" s="6">
        <v>277.77</v>
      </c>
      <c r="J48" s="23" t="s">
        <v>13</v>
      </c>
    </row>
    <row r="49" spans="1:10" ht="14.5" customHeight="1" x14ac:dyDescent="0.35">
      <c r="A49" s="2">
        <v>1047</v>
      </c>
      <c r="B49" s="3">
        <v>44973</v>
      </c>
      <c r="C49" s="2" t="s">
        <v>14</v>
      </c>
      <c r="D49" s="2" t="s">
        <v>11</v>
      </c>
      <c r="E49" s="2" t="s">
        <v>12</v>
      </c>
      <c r="F49" s="4">
        <v>1385.86</v>
      </c>
      <c r="G49" s="2">
        <v>5</v>
      </c>
      <c r="H49" s="5">
        <v>0.28999999999999998</v>
      </c>
      <c r="I49" s="6">
        <v>190.01</v>
      </c>
      <c r="J49" s="23" t="s">
        <v>13</v>
      </c>
    </row>
    <row r="50" spans="1:10" ht="14.5" customHeight="1" x14ac:dyDescent="0.35">
      <c r="A50" s="2">
        <v>1048</v>
      </c>
      <c r="B50" s="3">
        <v>44974</v>
      </c>
      <c r="C50" s="2" t="s">
        <v>10</v>
      </c>
      <c r="D50" s="2" t="s">
        <v>11</v>
      </c>
      <c r="E50" s="2" t="s">
        <v>12</v>
      </c>
      <c r="F50" s="4">
        <v>1016.79</v>
      </c>
      <c r="G50" s="2">
        <v>9</v>
      </c>
      <c r="H50" s="5">
        <v>0.1</v>
      </c>
      <c r="I50" s="6">
        <v>176.71</v>
      </c>
      <c r="J50" s="23" t="s">
        <v>13</v>
      </c>
    </row>
    <row r="51" spans="1:10" ht="14.5" customHeight="1" x14ac:dyDescent="0.35">
      <c r="A51" s="2">
        <v>1049</v>
      </c>
      <c r="B51" s="3">
        <v>44975</v>
      </c>
      <c r="C51" s="2" t="s">
        <v>20</v>
      </c>
      <c r="D51" s="2" t="s">
        <v>21</v>
      </c>
      <c r="E51" s="2" t="s">
        <v>12</v>
      </c>
      <c r="F51" s="4">
        <v>1036.75</v>
      </c>
      <c r="G51" s="2">
        <v>2</v>
      </c>
      <c r="H51" s="5">
        <v>7.0000000000000007E-2</v>
      </c>
      <c r="I51" s="6">
        <v>186.19</v>
      </c>
      <c r="J51" s="23" t="s">
        <v>13</v>
      </c>
    </row>
    <row r="52" spans="1:10" ht="14.5" customHeight="1" x14ac:dyDescent="0.35">
      <c r="A52" s="2">
        <v>1050</v>
      </c>
      <c r="B52" s="3">
        <v>44976</v>
      </c>
      <c r="C52" s="2" t="s">
        <v>20</v>
      </c>
      <c r="D52" s="2" t="s">
        <v>15</v>
      </c>
      <c r="E52" s="2" t="s">
        <v>12</v>
      </c>
      <c r="F52" s="4">
        <v>258.24</v>
      </c>
      <c r="G52" s="2">
        <v>1</v>
      </c>
      <c r="H52" s="5">
        <v>0.13</v>
      </c>
      <c r="I52" s="6">
        <v>43.39</v>
      </c>
      <c r="J52" s="23" t="s">
        <v>13</v>
      </c>
    </row>
    <row r="53" spans="1:10" ht="14.5" customHeight="1" x14ac:dyDescent="0.35">
      <c r="A53" s="2">
        <v>1051</v>
      </c>
      <c r="B53" s="3">
        <v>44977</v>
      </c>
      <c r="C53" s="2" t="s">
        <v>10</v>
      </c>
      <c r="D53" s="2" t="s">
        <v>15</v>
      </c>
      <c r="E53" s="2" t="s">
        <v>16</v>
      </c>
      <c r="F53" s="4">
        <v>274.24</v>
      </c>
      <c r="G53" s="2">
        <v>9</v>
      </c>
      <c r="H53" s="5">
        <v>0.09</v>
      </c>
      <c r="I53" s="6">
        <v>48.19</v>
      </c>
      <c r="J53" s="23" t="s">
        <v>13</v>
      </c>
    </row>
    <row r="54" spans="1:10" ht="14.5" customHeight="1" x14ac:dyDescent="0.35">
      <c r="A54" s="2">
        <v>1052</v>
      </c>
      <c r="B54" s="3">
        <v>44978</v>
      </c>
      <c r="C54" s="2" t="s">
        <v>20</v>
      </c>
      <c r="D54" s="2" t="s">
        <v>21</v>
      </c>
      <c r="E54" s="2" t="s">
        <v>12</v>
      </c>
      <c r="F54" s="4">
        <v>1244.6400000000001</v>
      </c>
      <c r="G54" s="2">
        <v>9</v>
      </c>
      <c r="H54" s="5">
        <v>0.18</v>
      </c>
      <c r="I54" s="6">
        <v>197.09</v>
      </c>
      <c r="J54" s="23" t="s">
        <v>13</v>
      </c>
    </row>
    <row r="55" spans="1:10" ht="14.5" customHeight="1" x14ac:dyDescent="0.35">
      <c r="A55" s="2">
        <v>1053</v>
      </c>
      <c r="B55" s="3">
        <v>44979</v>
      </c>
      <c r="C55" s="2" t="s">
        <v>10</v>
      </c>
      <c r="D55" s="2" t="s">
        <v>19</v>
      </c>
      <c r="E55" s="2" t="s">
        <v>12</v>
      </c>
      <c r="F55" s="4">
        <v>1152.04</v>
      </c>
      <c r="G55" s="2">
        <v>9</v>
      </c>
      <c r="H55" s="5">
        <v>0.27</v>
      </c>
      <c r="I55" s="6">
        <v>162.4</v>
      </c>
      <c r="J55" s="23" t="s">
        <v>13</v>
      </c>
    </row>
    <row r="56" spans="1:10" ht="14.5" customHeight="1" x14ac:dyDescent="0.35">
      <c r="A56" s="2">
        <v>1054</v>
      </c>
      <c r="B56" s="3">
        <v>44980</v>
      </c>
      <c r="C56" s="2" t="s">
        <v>14</v>
      </c>
      <c r="D56" s="2" t="s">
        <v>11</v>
      </c>
      <c r="E56" s="2" t="s">
        <v>12</v>
      </c>
      <c r="F56" s="4">
        <v>504.18</v>
      </c>
      <c r="G56" s="2">
        <v>6</v>
      </c>
      <c r="H56" s="5">
        <v>0.04</v>
      </c>
      <c r="I56" s="6">
        <v>93.47</v>
      </c>
      <c r="J56" s="23" t="s">
        <v>13</v>
      </c>
    </row>
    <row r="57" spans="1:10" ht="14.5" customHeight="1" x14ac:dyDescent="0.35">
      <c r="A57" s="2">
        <v>1055</v>
      </c>
      <c r="B57" s="3">
        <v>44981</v>
      </c>
      <c r="C57" s="2" t="s">
        <v>10</v>
      </c>
      <c r="D57" s="2" t="s">
        <v>18</v>
      </c>
      <c r="E57" s="2" t="s">
        <v>16</v>
      </c>
      <c r="F57" s="4">
        <v>1897.77</v>
      </c>
      <c r="G57" s="2">
        <v>8</v>
      </c>
      <c r="H57" s="5">
        <v>0.03</v>
      </c>
      <c r="I57" s="6">
        <v>355.48</v>
      </c>
      <c r="J57" s="23" t="s">
        <v>13</v>
      </c>
    </row>
    <row r="58" spans="1:10" ht="14.5" customHeight="1" x14ac:dyDescent="0.35">
      <c r="A58" s="2">
        <v>1056</v>
      </c>
      <c r="B58" s="3">
        <v>44982</v>
      </c>
      <c r="C58" s="2" t="s">
        <v>14</v>
      </c>
      <c r="D58" s="2" t="s">
        <v>11</v>
      </c>
      <c r="E58" s="2" t="s">
        <v>12</v>
      </c>
      <c r="F58" s="4">
        <v>1584.46</v>
      </c>
      <c r="G58" s="2">
        <v>1</v>
      </c>
      <c r="H58" s="5">
        <v>0.08</v>
      </c>
      <c r="I58" s="6">
        <v>281.49</v>
      </c>
      <c r="J58" s="23" t="s">
        <v>13</v>
      </c>
    </row>
    <row r="59" spans="1:10" ht="14.5" customHeight="1" x14ac:dyDescent="0.35">
      <c r="A59" s="2">
        <v>1057</v>
      </c>
      <c r="B59" s="3">
        <v>44983</v>
      </c>
      <c r="C59" s="2" t="s">
        <v>14</v>
      </c>
      <c r="D59" s="2" t="s">
        <v>11</v>
      </c>
      <c r="E59" s="2" t="s">
        <v>16</v>
      </c>
      <c r="F59" s="4">
        <v>315.58</v>
      </c>
      <c r="G59" s="2">
        <v>4</v>
      </c>
      <c r="H59" s="5">
        <v>0.22</v>
      </c>
      <c r="I59" s="6">
        <v>47.53</v>
      </c>
      <c r="J59" s="23" t="s">
        <v>13</v>
      </c>
    </row>
    <row r="60" spans="1:10" ht="14.5" customHeight="1" x14ac:dyDescent="0.35">
      <c r="A60" s="2">
        <v>1058</v>
      </c>
      <c r="B60" s="3">
        <v>44984</v>
      </c>
      <c r="C60" s="2" t="s">
        <v>17</v>
      </c>
      <c r="D60" s="2" t="s">
        <v>19</v>
      </c>
      <c r="E60" s="2" t="s">
        <v>12</v>
      </c>
      <c r="F60" s="4">
        <v>1868.77</v>
      </c>
      <c r="G60" s="2">
        <v>1</v>
      </c>
      <c r="H60" s="5">
        <v>0.18</v>
      </c>
      <c r="I60" s="6">
        <v>295.92</v>
      </c>
      <c r="J60" s="23" t="s">
        <v>13</v>
      </c>
    </row>
    <row r="61" spans="1:10" ht="14.5" customHeight="1" x14ac:dyDescent="0.35">
      <c r="A61" s="2">
        <v>1059</v>
      </c>
      <c r="B61" s="3">
        <v>44985</v>
      </c>
      <c r="C61" s="2" t="s">
        <v>10</v>
      </c>
      <c r="D61" s="2" t="s">
        <v>11</v>
      </c>
      <c r="E61" s="2" t="s">
        <v>16</v>
      </c>
      <c r="F61" s="4">
        <v>1951.07</v>
      </c>
      <c r="G61" s="2">
        <v>8</v>
      </c>
      <c r="H61" s="5">
        <v>0.03</v>
      </c>
      <c r="I61" s="6">
        <v>365.46</v>
      </c>
      <c r="J61" s="23" t="s">
        <v>13</v>
      </c>
    </row>
    <row r="62" spans="1:10" ht="14.5" customHeight="1" x14ac:dyDescent="0.35">
      <c r="A62" s="2">
        <v>1060</v>
      </c>
      <c r="B62" s="3">
        <v>44986</v>
      </c>
      <c r="C62" s="2" t="s">
        <v>17</v>
      </c>
      <c r="D62" s="2" t="s">
        <v>21</v>
      </c>
      <c r="E62" s="2" t="s">
        <v>16</v>
      </c>
      <c r="F62" s="4">
        <v>1992.27</v>
      </c>
      <c r="G62" s="2">
        <v>1</v>
      </c>
      <c r="H62" s="5">
        <v>0.28000000000000003</v>
      </c>
      <c r="I62" s="6">
        <v>277</v>
      </c>
      <c r="J62" s="23" t="s">
        <v>13</v>
      </c>
    </row>
    <row r="63" spans="1:10" ht="14.5" customHeight="1" x14ac:dyDescent="0.35">
      <c r="A63" s="2">
        <v>1061</v>
      </c>
      <c r="B63" s="3">
        <v>44987</v>
      </c>
      <c r="C63" s="2" t="s">
        <v>10</v>
      </c>
      <c r="D63" s="2" t="s">
        <v>21</v>
      </c>
      <c r="E63" s="2" t="s">
        <v>12</v>
      </c>
      <c r="F63" s="4">
        <v>206.16</v>
      </c>
      <c r="G63" s="2">
        <v>3</v>
      </c>
      <c r="H63" s="5">
        <v>0.24</v>
      </c>
      <c r="I63" s="6">
        <v>30.26</v>
      </c>
      <c r="J63" s="23" t="s">
        <v>13</v>
      </c>
    </row>
    <row r="64" spans="1:10" ht="14.5" customHeight="1" x14ac:dyDescent="0.35">
      <c r="A64" s="2">
        <v>1062</v>
      </c>
      <c r="B64" s="3">
        <v>44988</v>
      </c>
      <c r="C64" s="2" t="s">
        <v>10</v>
      </c>
      <c r="D64" s="2" t="s">
        <v>15</v>
      </c>
      <c r="E64" s="2" t="s">
        <v>16</v>
      </c>
      <c r="F64" s="4">
        <v>1500.37</v>
      </c>
      <c r="G64" s="2">
        <v>4</v>
      </c>
      <c r="H64" s="5">
        <v>0.01</v>
      </c>
      <c r="I64" s="6">
        <v>286.83</v>
      </c>
      <c r="J64" s="23" t="s">
        <v>13</v>
      </c>
    </row>
    <row r="65" spans="1:10" ht="14.5" customHeight="1" x14ac:dyDescent="0.35">
      <c r="A65" s="2">
        <v>1063</v>
      </c>
      <c r="B65" s="3">
        <v>44989</v>
      </c>
      <c r="C65" s="2" t="s">
        <v>17</v>
      </c>
      <c r="D65" s="2" t="s">
        <v>18</v>
      </c>
      <c r="E65" s="2" t="s">
        <v>12</v>
      </c>
      <c r="F65" s="4">
        <v>1137.24</v>
      </c>
      <c r="G65" s="2">
        <v>8</v>
      </c>
      <c r="H65" s="5">
        <v>0.2</v>
      </c>
      <c r="I65" s="6">
        <v>175.69</v>
      </c>
      <c r="J65" s="23" t="s">
        <v>13</v>
      </c>
    </row>
    <row r="66" spans="1:10" ht="14.5" customHeight="1" x14ac:dyDescent="0.35">
      <c r="A66" s="2">
        <v>1064</v>
      </c>
      <c r="B66" s="3">
        <v>44990</v>
      </c>
      <c r="C66" s="2" t="s">
        <v>17</v>
      </c>
      <c r="D66" s="2" t="s">
        <v>11</v>
      </c>
      <c r="E66" s="2" t="s">
        <v>12</v>
      </c>
      <c r="F66" s="4">
        <v>1441.08</v>
      </c>
      <c r="G66" s="2">
        <v>6</v>
      </c>
      <c r="H66" s="5">
        <v>0.23</v>
      </c>
      <c r="I66" s="6">
        <v>214.28</v>
      </c>
      <c r="J66" s="23" t="s">
        <v>13</v>
      </c>
    </row>
    <row r="67" spans="1:10" ht="14.5" customHeight="1" x14ac:dyDescent="0.35">
      <c r="A67" s="2">
        <v>1065</v>
      </c>
      <c r="B67" s="3">
        <v>44991</v>
      </c>
      <c r="C67" s="2" t="s">
        <v>10</v>
      </c>
      <c r="D67" s="2" t="s">
        <v>11</v>
      </c>
      <c r="E67" s="2" t="s">
        <v>12</v>
      </c>
      <c r="F67" s="4">
        <v>1940.44</v>
      </c>
      <c r="G67" s="2">
        <v>7</v>
      </c>
      <c r="H67" s="5">
        <v>0.11</v>
      </c>
      <c r="I67" s="6">
        <v>333.49</v>
      </c>
      <c r="J67" s="23" t="s">
        <v>13</v>
      </c>
    </row>
    <row r="68" spans="1:10" ht="14.5" customHeight="1" x14ac:dyDescent="0.35">
      <c r="A68" s="2">
        <v>1066</v>
      </c>
      <c r="B68" s="3">
        <v>44992</v>
      </c>
      <c r="C68" s="2" t="s">
        <v>20</v>
      </c>
      <c r="D68" s="2" t="s">
        <v>19</v>
      </c>
      <c r="E68" s="2" t="s">
        <v>16</v>
      </c>
      <c r="F68" s="4">
        <v>1407.26</v>
      </c>
      <c r="G68" s="2">
        <v>8</v>
      </c>
      <c r="H68" s="5">
        <v>0.02</v>
      </c>
      <c r="I68" s="6">
        <v>266.32</v>
      </c>
      <c r="J68" s="23" t="s">
        <v>13</v>
      </c>
    </row>
    <row r="69" spans="1:10" ht="14.5" customHeight="1" x14ac:dyDescent="0.35">
      <c r="A69" s="2">
        <v>1067</v>
      </c>
      <c r="B69" s="3">
        <v>44993</v>
      </c>
      <c r="C69" s="2" t="s">
        <v>14</v>
      </c>
      <c r="D69" s="2" t="s">
        <v>21</v>
      </c>
      <c r="E69" s="2" t="s">
        <v>16</v>
      </c>
      <c r="F69" s="4">
        <v>1690.23</v>
      </c>
      <c r="G69" s="2">
        <v>2</v>
      </c>
      <c r="H69" s="5">
        <v>0.02</v>
      </c>
      <c r="I69" s="6">
        <v>319.87</v>
      </c>
      <c r="J69" s="23" t="s">
        <v>13</v>
      </c>
    </row>
    <row r="70" spans="1:10" ht="14.5" customHeight="1" x14ac:dyDescent="0.35">
      <c r="A70" s="2">
        <v>1068</v>
      </c>
      <c r="B70" s="3">
        <v>44994</v>
      </c>
      <c r="C70" s="2" t="s">
        <v>17</v>
      </c>
      <c r="D70" s="2" t="s">
        <v>18</v>
      </c>
      <c r="E70" s="2" t="s">
        <v>12</v>
      </c>
      <c r="F70" s="4">
        <v>1747.05</v>
      </c>
      <c r="G70" s="2">
        <v>8</v>
      </c>
      <c r="H70" s="5">
        <v>0.03</v>
      </c>
      <c r="I70" s="6">
        <v>327.25</v>
      </c>
      <c r="J70" s="23" t="s">
        <v>13</v>
      </c>
    </row>
    <row r="71" spans="1:10" ht="14.5" customHeight="1" x14ac:dyDescent="0.35">
      <c r="A71" s="2">
        <v>1069</v>
      </c>
      <c r="B71" s="3">
        <v>44995</v>
      </c>
      <c r="C71" s="2" t="s">
        <v>14</v>
      </c>
      <c r="D71" s="2" t="s">
        <v>15</v>
      </c>
      <c r="E71" s="2" t="s">
        <v>12</v>
      </c>
      <c r="F71" s="4">
        <v>1693.11</v>
      </c>
      <c r="G71" s="2">
        <v>3</v>
      </c>
      <c r="H71" s="5">
        <v>0.25</v>
      </c>
      <c r="I71" s="6">
        <v>245.21</v>
      </c>
      <c r="J71" s="23" t="s">
        <v>13</v>
      </c>
    </row>
    <row r="72" spans="1:10" ht="14.5" customHeight="1" x14ac:dyDescent="0.35">
      <c r="A72" s="2">
        <v>1070</v>
      </c>
      <c r="B72" s="3">
        <v>44996</v>
      </c>
      <c r="C72" s="2" t="s">
        <v>20</v>
      </c>
      <c r="D72" s="2" t="s">
        <v>21</v>
      </c>
      <c r="E72" s="2" t="s">
        <v>16</v>
      </c>
      <c r="F72" s="4">
        <v>909.57</v>
      </c>
      <c r="G72" s="2">
        <v>7</v>
      </c>
      <c r="H72" s="5">
        <v>0.27</v>
      </c>
      <c r="I72" s="6">
        <v>128.22</v>
      </c>
      <c r="J72" s="23" t="s">
        <v>13</v>
      </c>
    </row>
    <row r="73" spans="1:10" ht="14.5" customHeight="1" x14ac:dyDescent="0.35">
      <c r="A73" s="2">
        <v>1071</v>
      </c>
      <c r="B73" s="3">
        <v>44997</v>
      </c>
      <c r="C73" s="2" t="s">
        <v>20</v>
      </c>
      <c r="D73" s="2" t="s">
        <v>15</v>
      </c>
      <c r="E73" s="2" t="s">
        <v>12</v>
      </c>
      <c r="F73" s="4">
        <v>522.9</v>
      </c>
      <c r="G73" s="2">
        <v>3</v>
      </c>
      <c r="H73" s="5">
        <v>0.04</v>
      </c>
      <c r="I73" s="6">
        <v>96.94</v>
      </c>
      <c r="J73" s="23" t="s">
        <v>13</v>
      </c>
    </row>
    <row r="74" spans="1:10" ht="14.5" customHeight="1" x14ac:dyDescent="0.35">
      <c r="A74" s="2">
        <v>1072</v>
      </c>
      <c r="B74" s="3">
        <v>44998</v>
      </c>
      <c r="C74" s="2" t="s">
        <v>20</v>
      </c>
      <c r="D74" s="2" t="s">
        <v>19</v>
      </c>
      <c r="E74" s="2" t="s">
        <v>12</v>
      </c>
      <c r="F74" s="4">
        <v>853.64</v>
      </c>
      <c r="G74" s="2">
        <v>7</v>
      </c>
      <c r="H74" s="5">
        <v>7.0000000000000007E-2</v>
      </c>
      <c r="I74" s="6">
        <v>153.30000000000001</v>
      </c>
      <c r="J74" s="23" t="s">
        <v>13</v>
      </c>
    </row>
    <row r="75" spans="1:10" ht="14.5" customHeight="1" x14ac:dyDescent="0.35">
      <c r="A75" s="2">
        <v>1073</v>
      </c>
      <c r="B75" s="3">
        <v>44999</v>
      </c>
      <c r="C75" s="2" t="s">
        <v>17</v>
      </c>
      <c r="D75" s="2" t="s">
        <v>19</v>
      </c>
      <c r="E75" s="2" t="s">
        <v>12</v>
      </c>
      <c r="F75" s="4">
        <v>1794.6</v>
      </c>
      <c r="G75" s="2">
        <v>2</v>
      </c>
      <c r="H75" s="5">
        <v>0.05</v>
      </c>
      <c r="I75" s="6">
        <v>329.22</v>
      </c>
      <c r="J75" s="23" t="s">
        <v>13</v>
      </c>
    </row>
    <row r="76" spans="1:10" ht="14.5" customHeight="1" x14ac:dyDescent="0.35">
      <c r="A76" s="2">
        <v>1074</v>
      </c>
      <c r="B76" s="3">
        <v>45000</v>
      </c>
      <c r="C76" s="2" t="s">
        <v>20</v>
      </c>
      <c r="D76" s="2" t="s">
        <v>11</v>
      </c>
      <c r="E76" s="2" t="s">
        <v>16</v>
      </c>
      <c r="F76" s="4">
        <v>378.55</v>
      </c>
      <c r="G76" s="2">
        <v>6</v>
      </c>
      <c r="H76" s="5">
        <v>0.06</v>
      </c>
      <c r="I76" s="6">
        <v>68.709999999999994</v>
      </c>
      <c r="J76" s="23" t="s">
        <v>13</v>
      </c>
    </row>
    <row r="77" spans="1:10" ht="14.5" customHeight="1" x14ac:dyDescent="0.35">
      <c r="A77" s="2">
        <v>1075</v>
      </c>
      <c r="B77" s="3">
        <v>45001</v>
      </c>
      <c r="C77" s="2" t="s">
        <v>17</v>
      </c>
      <c r="D77" s="2" t="s">
        <v>18</v>
      </c>
      <c r="E77" s="2" t="s">
        <v>16</v>
      </c>
      <c r="F77" s="4">
        <v>1075.32</v>
      </c>
      <c r="G77" s="2">
        <v>3</v>
      </c>
      <c r="H77" s="5">
        <v>0.25</v>
      </c>
      <c r="I77" s="6">
        <v>155.74</v>
      </c>
      <c r="J77" s="23" t="s">
        <v>13</v>
      </c>
    </row>
    <row r="78" spans="1:10" ht="14.5" customHeight="1" x14ac:dyDescent="0.35">
      <c r="A78" s="2">
        <v>1076</v>
      </c>
      <c r="B78" s="3">
        <v>45002</v>
      </c>
      <c r="C78" s="2" t="s">
        <v>20</v>
      </c>
      <c r="D78" s="2" t="s">
        <v>15</v>
      </c>
      <c r="E78" s="2" t="s">
        <v>16</v>
      </c>
      <c r="F78" s="4">
        <v>543.13</v>
      </c>
      <c r="G78" s="2">
        <v>3</v>
      </c>
      <c r="H78" s="5">
        <v>0.1</v>
      </c>
      <c r="I78" s="6">
        <v>94.39</v>
      </c>
      <c r="J78" s="23" t="s">
        <v>13</v>
      </c>
    </row>
    <row r="79" spans="1:10" ht="14.5" customHeight="1" x14ac:dyDescent="0.35">
      <c r="A79" s="2">
        <v>1077</v>
      </c>
      <c r="B79" s="3">
        <v>45003</v>
      </c>
      <c r="C79" s="2" t="s">
        <v>14</v>
      </c>
      <c r="D79" s="2" t="s">
        <v>21</v>
      </c>
      <c r="E79" s="2" t="s">
        <v>12</v>
      </c>
      <c r="F79" s="4">
        <v>1204.48</v>
      </c>
      <c r="G79" s="2">
        <v>9</v>
      </c>
      <c r="H79" s="5">
        <v>0.09</v>
      </c>
      <c r="I79" s="6">
        <v>211.66</v>
      </c>
      <c r="J79" s="23" t="s">
        <v>13</v>
      </c>
    </row>
    <row r="80" spans="1:10" ht="14.5" customHeight="1" x14ac:dyDescent="0.35">
      <c r="A80" s="2">
        <v>1078</v>
      </c>
      <c r="B80" s="3">
        <v>45004</v>
      </c>
      <c r="C80" s="2" t="s">
        <v>14</v>
      </c>
      <c r="D80" s="2" t="s">
        <v>19</v>
      </c>
      <c r="E80" s="2" t="s">
        <v>12</v>
      </c>
      <c r="F80" s="4">
        <v>1739.96</v>
      </c>
      <c r="G80" s="2">
        <v>7</v>
      </c>
      <c r="H80" s="5">
        <v>7.0000000000000007E-2</v>
      </c>
      <c r="I80" s="6">
        <v>312.48</v>
      </c>
      <c r="J80" s="23" t="s">
        <v>13</v>
      </c>
    </row>
    <row r="81" spans="1:10" ht="14.5" customHeight="1" x14ac:dyDescent="0.35">
      <c r="A81" s="2">
        <v>1079</v>
      </c>
      <c r="B81" s="3">
        <v>45005</v>
      </c>
      <c r="C81" s="2" t="s">
        <v>10</v>
      </c>
      <c r="D81" s="2" t="s">
        <v>11</v>
      </c>
      <c r="E81" s="2" t="s">
        <v>12</v>
      </c>
      <c r="F81" s="4">
        <v>1772.68</v>
      </c>
      <c r="G81" s="2">
        <v>5</v>
      </c>
      <c r="H81" s="5">
        <v>0.18</v>
      </c>
      <c r="I81" s="6">
        <v>280.7</v>
      </c>
      <c r="J81" s="23" t="s">
        <v>13</v>
      </c>
    </row>
    <row r="82" spans="1:10" ht="14.5" customHeight="1" x14ac:dyDescent="0.35">
      <c r="A82" s="2">
        <v>1080</v>
      </c>
      <c r="B82" s="3">
        <v>45006</v>
      </c>
      <c r="C82" s="2" t="s">
        <v>14</v>
      </c>
      <c r="D82" s="2" t="s">
        <v>11</v>
      </c>
      <c r="E82" s="2" t="s">
        <v>16</v>
      </c>
      <c r="F82" s="4">
        <v>549.70000000000005</v>
      </c>
      <c r="G82" s="2">
        <v>7</v>
      </c>
      <c r="H82" s="5">
        <v>0.11</v>
      </c>
      <c r="I82" s="6">
        <v>94.47</v>
      </c>
      <c r="J82" s="23" t="s">
        <v>13</v>
      </c>
    </row>
    <row r="83" spans="1:10" ht="14.5" customHeight="1" x14ac:dyDescent="0.35">
      <c r="A83" s="2">
        <v>1081</v>
      </c>
      <c r="B83" s="3">
        <v>45007</v>
      </c>
      <c r="C83" s="2" t="s">
        <v>10</v>
      </c>
      <c r="D83" s="2" t="s">
        <v>15</v>
      </c>
      <c r="E83" s="2" t="s">
        <v>12</v>
      </c>
      <c r="F83" s="4">
        <v>1824.62</v>
      </c>
      <c r="G83" s="2">
        <v>9</v>
      </c>
      <c r="H83" s="5">
        <v>0.22</v>
      </c>
      <c r="I83" s="6">
        <v>274.83</v>
      </c>
      <c r="J83" s="23" t="s">
        <v>13</v>
      </c>
    </row>
    <row r="84" spans="1:10" ht="14.5" customHeight="1" x14ac:dyDescent="0.35">
      <c r="A84" s="7">
        <v>1082</v>
      </c>
      <c r="B84" s="3">
        <v>45008</v>
      </c>
      <c r="C84" s="2" t="s">
        <v>14</v>
      </c>
      <c r="D84" s="2" t="s">
        <v>19</v>
      </c>
      <c r="E84" s="2" t="s">
        <v>12</v>
      </c>
      <c r="F84" s="4">
        <v>1224.5899999999999</v>
      </c>
      <c r="G84" s="2">
        <v>1</v>
      </c>
      <c r="H84" s="5">
        <v>0.06</v>
      </c>
      <c r="I84" s="6">
        <v>222.29</v>
      </c>
      <c r="J84" s="23" t="s">
        <v>13</v>
      </c>
    </row>
    <row r="85" spans="1:10" ht="14.5" customHeight="1" x14ac:dyDescent="0.35">
      <c r="A85" s="2">
        <v>1083</v>
      </c>
      <c r="B85" s="3">
        <v>45009</v>
      </c>
      <c r="C85" s="2" t="s">
        <v>17</v>
      </c>
      <c r="D85" s="2" t="s">
        <v>18</v>
      </c>
      <c r="E85" s="2" t="s">
        <v>12</v>
      </c>
      <c r="F85" s="4">
        <v>765.41</v>
      </c>
      <c r="G85" s="2">
        <v>7</v>
      </c>
      <c r="H85" s="5">
        <v>0.24</v>
      </c>
      <c r="I85" s="6">
        <v>112.33</v>
      </c>
      <c r="J85" s="23" t="s">
        <v>13</v>
      </c>
    </row>
    <row r="86" spans="1:10" ht="14.5" customHeight="1" x14ac:dyDescent="0.35">
      <c r="A86" s="2">
        <v>1084</v>
      </c>
      <c r="B86" s="3">
        <v>45010</v>
      </c>
      <c r="C86" s="2" t="s">
        <v>14</v>
      </c>
      <c r="D86" s="2" t="s">
        <v>19</v>
      </c>
      <c r="E86" s="2" t="s">
        <v>12</v>
      </c>
      <c r="F86" s="4">
        <v>1445.54</v>
      </c>
      <c r="G86" s="2">
        <v>6</v>
      </c>
      <c r="H86" s="5">
        <v>0.18</v>
      </c>
      <c r="I86" s="6">
        <v>228.9</v>
      </c>
      <c r="J86" s="23" t="s">
        <v>13</v>
      </c>
    </row>
    <row r="87" spans="1:10" ht="14.5" customHeight="1" x14ac:dyDescent="0.35">
      <c r="A87" s="2">
        <v>1085</v>
      </c>
      <c r="B87" s="3">
        <v>45011</v>
      </c>
      <c r="C87" s="2" t="s">
        <v>10</v>
      </c>
      <c r="D87" s="2" t="s">
        <v>15</v>
      </c>
      <c r="E87" s="2" t="s">
        <v>16</v>
      </c>
      <c r="F87" s="4">
        <v>1015.17</v>
      </c>
      <c r="G87" s="2">
        <v>9</v>
      </c>
      <c r="H87" s="5">
        <v>0.03</v>
      </c>
      <c r="I87" s="6">
        <v>190.16</v>
      </c>
      <c r="J87" s="23" t="s">
        <v>13</v>
      </c>
    </row>
    <row r="88" spans="1:10" ht="14.5" customHeight="1" x14ac:dyDescent="0.35">
      <c r="A88" s="2">
        <v>1086</v>
      </c>
      <c r="B88" s="3">
        <v>45012</v>
      </c>
      <c r="C88" s="2" t="s">
        <v>10</v>
      </c>
      <c r="D88" s="2" t="s">
        <v>15</v>
      </c>
      <c r="E88" s="2" t="s">
        <v>16</v>
      </c>
      <c r="F88" s="4">
        <v>818.18</v>
      </c>
      <c r="G88" s="2">
        <v>1</v>
      </c>
      <c r="H88" s="5">
        <v>0.12</v>
      </c>
      <c r="I88" s="6">
        <v>139.04</v>
      </c>
      <c r="J88" s="23" t="s">
        <v>13</v>
      </c>
    </row>
    <row r="89" spans="1:10" ht="14.5" customHeight="1" x14ac:dyDescent="0.35">
      <c r="A89" s="2">
        <v>1087</v>
      </c>
      <c r="B89" s="3">
        <v>45013</v>
      </c>
      <c r="C89" s="2" t="s">
        <v>20</v>
      </c>
      <c r="D89" s="2" t="s">
        <v>19</v>
      </c>
      <c r="E89" s="2" t="s">
        <v>12</v>
      </c>
      <c r="F89" s="4">
        <v>1439.66</v>
      </c>
      <c r="G89" s="2">
        <v>4</v>
      </c>
      <c r="H89" s="5">
        <v>0.26</v>
      </c>
      <c r="I89" s="6">
        <v>205.73</v>
      </c>
      <c r="J89" s="23" t="s">
        <v>13</v>
      </c>
    </row>
    <row r="90" spans="1:10" ht="14.5" customHeight="1" x14ac:dyDescent="0.35">
      <c r="A90" s="2">
        <v>1088</v>
      </c>
      <c r="B90" s="3">
        <v>45014</v>
      </c>
      <c r="C90" s="2" t="s">
        <v>17</v>
      </c>
      <c r="D90" s="2" t="s">
        <v>15</v>
      </c>
      <c r="E90" s="2" t="s">
        <v>16</v>
      </c>
      <c r="F90" s="4">
        <v>572.58000000000004</v>
      </c>
      <c r="G90" s="2">
        <v>9</v>
      </c>
      <c r="H90" s="5">
        <v>0.28000000000000003</v>
      </c>
      <c r="I90" s="6">
        <v>79.61</v>
      </c>
      <c r="J90" s="23" t="s">
        <v>13</v>
      </c>
    </row>
    <row r="91" spans="1:10" ht="14.5" customHeight="1" x14ac:dyDescent="0.35">
      <c r="A91" s="2">
        <v>1089</v>
      </c>
      <c r="B91" s="3">
        <v>45015</v>
      </c>
      <c r="C91" s="2" t="s">
        <v>14</v>
      </c>
      <c r="D91" s="2" t="s">
        <v>19</v>
      </c>
      <c r="E91" s="2" t="s">
        <v>16</v>
      </c>
      <c r="F91" s="4">
        <v>727.48</v>
      </c>
      <c r="G91" s="2">
        <v>4</v>
      </c>
      <c r="H91" s="5">
        <v>0.14000000000000001</v>
      </c>
      <c r="I91" s="6">
        <v>120.81</v>
      </c>
      <c r="J91" s="23" t="s">
        <v>13</v>
      </c>
    </row>
    <row r="92" spans="1:10" ht="14.5" customHeight="1" x14ac:dyDescent="0.35">
      <c r="A92" s="2">
        <v>1090</v>
      </c>
      <c r="B92" s="3">
        <v>45016</v>
      </c>
      <c r="C92" s="2" t="s">
        <v>20</v>
      </c>
      <c r="D92" s="2" t="s">
        <v>21</v>
      </c>
      <c r="E92" s="2" t="s">
        <v>12</v>
      </c>
      <c r="F92" s="4">
        <v>925.46</v>
      </c>
      <c r="G92" s="2">
        <v>3</v>
      </c>
      <c r="H92" s="5">
        <v>0.14000000000000001</v>
      </c>
      <c r="I92" s="6">
        <v>153.69</v>
      </c>
      <c r="J92" s="23" t="s">
        <v>13</v>
      </c>
    </row>
    <row r="93" spans="1:10" ht="14.5" customHeight="1" x14ac:dyDescent="0.35">
      <c r="A93" s="2">
        <v>1091</v>
      </c>
      <c r="B93" s="3">
        <v>45017</v>
      </c>
      <c r="C93" s="2" t="s">
        <v>14</v>
      </c>
      <c r="D93" s="2" t="s">
        <v>19</v>
      </c>
      <c r="E93" s="2" t="s">
        <v>12</v>
      </c>
      <c r="F93" s="4">
        <v>582</v>
      </c>
      <c r="G93" s="2">
        <v>9</v>
      </c>
      <c r="H93" s="5">
        <v>0.28000000000000003</v>
      </c>
      <c r="I93" s="6">
        <v>80.92</v>
      </c>
      <c r="J93" s="23" t="s">
        <v>13</v>
      </c>
    </row>
    <row r="94" spans="1:10" ht="14.5" customHeight="1" x14ac:dyDescent="0.35">
      <c r="A94" s="2">
        <v>1092</v>
      </c>
      <c r="B94" s="3">
        <v>45018</v>
      </c>
      <c r="C94" s="2" t="s">
        <v>14</v>
      </c>
      <c r="D94" s="2" t="s">
        <v>19</v>
      </c>
      <c r="E94" s="2" t="s">
        <v>16</v>
      </c>
      <c r="F94" s="4">
        <v>869.88</v>
      </c>
      <c r="G94" s="2">
        <v>2</v>
      </c>
      <c r="H94" s="5">
        <v>0.18</v>
      </c>
      <c r="I94" s="6">
        <v>137.74</v>
      </c>
      <c r="J94" s="23" t="s">
        <v>13</v>
      </c>
    </row>
    <row r="95" spans="1:10" ht="14.5" customHeight="1" x14ac:dyDescent="0.35">
      <c r="A95" s="2">
        <v>1093</v>
      </c>
      <c r="B95" s="3">
        <v>45019</v>
      </c>
      <c r="C95" s="2" t="s">
        <v>20</v>
      </c>
      <c r="D95" s="2" t="s">
        <v>15</v>
      </c>
      <c r="E95" s="2" t="s">
        <v>12</v>
      </c>
      <c r="F95" s="4">
        <v>1185.8</v>
      </c>
      <c r="G95" s="2">
        <v>4</v>
      </c>
      <c r="H95" s="5">
        <v>0.01</v>
      </c>
      <c r="I95" s="6">
        <v>226.7</v>
      </c>
      <c r="J95" s="23" t="s">
        <v>13</v>
      </c>
    </row>
    <row r="96" spans="1:10" ht="14.5" customHeight="1" x14ac:dyDescent="0.35">
      <c r="A96" s="2">
        <v>1094</v>
      </c>
      <c r="B96" s="3">
        <v>45020</v>
      </c>
      <c r="C96" s="2" t="s">
        <v>20</v>
      </c>
      <c r="D96" s="2" t="s">
        <v>15</v>
      </c>
      <c r="E96" s="2" t="s">
        <v>16</v>
      </c>
      <c r="F96" s="4">
        <v>1507.85</v>
      </c>
      <c r="G96" s="2">
        <v>6</v>
      </c>
      <c r="H96" s="5">
        <v>0.27</v>
      </c>
      <c r="I96" s="6">
        <v>212.56</v>
      </c>
      <c r="J96" s="23" t="s">
        <v>13</v>
      </c>
    </row>
    <row r="97" spans="1:10" ht="14.5" customHeight="1" x14ac:dyDescent="0.35">
      <c r="A97" s="2">
        <v>1095</v>
      </c>
      <c r="B97" s="3">
        <v>45021</v>
      </c>
      <c r="C97" s="2" t="s">
        <v>20</v>
      </c>
      <c r="D97" s="2" t="s">
        <v>11</v>
      </c>
      <c r="E97" s="2" t="s">
        <v>12</v>
      </c>
      <c r="F97" s="4">
        <v>1557.67</v>
      </c>
      <c r="G97" s="2">
        <v>2</v>
      </c>
      <c r="H97" s="5">
        <v>7.0000000000000007E-2</v>
      </c>
      <c r="I97" s="6">
        <v>279.74</v>
      </c>
      <c r="J97" s="23" t="s">
        <v>13</v>
      </c>
    </row>
    <row r="98" spans="1:10" ht="14.5" customHeight="1" x14ac:dyDescent="0.35">
      <c r="A98" s="2">
        <v>1096</v>
      </c>
      <c r="B98" s="3">
        <v>45022</v>
      </c>
      <c r="C98" s="2" t="s">
        <v>20</v>
      </c>
      <c r="D98" s="2" t="s">
        <v>11</v>
      </c>
      <c r="E98" s="2" t="s">
        <v>16</v>
      </c>
      <c r="F98" s="4">
        <v>1663.3</v>
      </c>
      <c r="G98" s="2">
        <v>8</v>
      </c>
      <c r="H98" s="5">
        <v>0.17</v>
      </c>
      <c r="I98" s="6">
        <v>266.58999999999997</v>
      </c>
      <c r="J98" s="23" t="s">
        <v>13</v>
      </c>
    </row>
    <row r="99" spans="1:10" ht="14.5" customHeight="1" x14ac:dyDescent="0.35">
      <c r="A99" s="2">
        <v>1097</v>
      </c>
      <c r="B99" s="3">
        <v>45023</v>
      </c>
      <c r="C99" s="2" t="s">
        <v>20</v>
      </c>
      <c r="D99" s="2" t="s">
        <v>21</v>
      </c>
      <c r="E99" s="2" t="s">
        <v>12</v>
      </c>
      <c r="F99" s="8">
        <v>1514</v>
      </c>
      <c r="G99" s="2">
        <v>8</v>
      </c>
      <c r="H99" s="5">
        <v>0.05</v>
      </c>
      <c r="I99" s="6">
        <v>277.75</v>
      </c>
      <c r="J99" s="23" t="s">
        <v>13</v>
      </c>
    </row>
    <row r="100" spans="1:10" ht="14.5" customHeight="1" x14ac:dyDescent="0.35">
      <c r="A100" s="9">
        <v>1098</v>
      </c>
      <c r="B100" s="10">
        <v>45024</v>
      </c>
      <c r="C100" s="9" t="s">
        <v>14</v>
      </c>
      <c r="D100" s="9" t="s">
        <v>11</v>
      </c>
      <c r="E100" s="11" t="s">
        <v>16</v>
      </c>
      <c r="F100" s="4">
        <v>1393.97</v>
      </c>
      <c r="G100" s="12">
        <v>1</v>
      </c>
      <c r="H100" s="13">
        <v>0.01</v>
      </c>
      <c r="I100" s="14">
        <v>266.49</v>
      </c>
      <c r="J100" s="24" t="s">
        <v>13</v>
      </c>
    </row>
    <row r="101" spans="1:10" ht="15" customHeight="1" x14ac:dyDescent="0.35">
      <c r="A101" s="15"/>
      <c r="B101" s="16"/>
      <c r="C101" s="15"/>
      <c r="D101" s="15"/>
      <c r="E101" s="15"/>
      <c r="F101" s="17">
        <f>SUM(F3:F100)</f>
        <v>108515.26000000002</v>
      </c>
      <c r="G101" s="18"/>
      <c r="H101" s="19"/>
      <c r="I101" s="20">
        <f>SUM(I3:I100)</f>
        <v>17762.93</v>
      </c>
      <c r="J101" s="21"/>
    </row>
    <row r="104" spans="1:10" ht="15" customHeight="1" x14ac:dyDescent="0.35">
      <c r="A104" s="31" t="s">
        <v>2</v>
      </c>
      <c r="B104" s="31" t="s">
        <v>25</v>
      </c>
    </row>
    <row r="105" spans="1:10" ht="15" customHeight="1" x14ac:dyDescent="0.35">
      <c r="A105" s="32" t="s">
        <v>14</v>
      </c>
      <c r="B105" s="33">
        <v>35157.760000000002</v>
      </c>
      <c r="F105" s="22"/>
    </row>
    <row r="106" spans="1:10" ht="15" customHeight="1" x14ac:dyDescent="0.35">
      <c r="A106" s="32" t="s">
        <v>20</v>
      </c>
      <c r="B106" s="33">
        <v>27524.759999999991</v>
      </c>
    </row>
    <row r="107" spans="1:10" ht="15" customHeight="1" x14ac:dyDescent="0.35">
      <c r="A107" s="32" t="s">
        <v>17</v>
      </c>
      <c r="B107" s="33">
        <v>21315.670000000002</v>
      </c>
    </row>
    <row r="108" spans="1:10" ht="15" customHeight="1" x14ac:dyDescent="0.35">
      <c r="A108" s="34" t="s">
        <v>10</v>
      </c>
      <c r="B108" s="35">
        <v>24517.069999999996</v>
      </c>
    </row>
    <row r="119" spans="1:2" ht="15" customHeight="1" x14ac:dyDescent="0.35">
      <c r="A119" s="43" t="s">
        <v>2</v>
      </c>
      <c r="B119" s="43" t="s">
        <v>27</v>
      </c>
    </row>
    <row r="120" spans="1:2" ht="15" customHeight="1" x14ac:dyDescent="0.35">
      <c r="A120" s="29" t="s">
        <v>14</v>
      </c>
      <c r="B120" s="30">
        <v>5663.05</v>
      </c>
    </row>
    <row r="121" spans="1:2" ht="15" customHeight="1" x14ac:dyDescent="0.35">
      <c r="A121" s="29" t="s">
        <v>20</v>
      </c>
      <c r="B121" s="30">
        <v>4628.87</v>
      </c>
    </row>
    <row r="122" spans="1:2" ht="15" customHeight="1" x14ac:dyDescent="0.35">
      <c r="A122" s="29" t="s">
        <v>10</v>
      </c>
      <c r="B122" s="30">
        <v>4053.3</v>
      </c>
    </row>
    <row r="123" spans="1:2" ht="15" customHeight="1" x14ac:dyDescent="0.35">
      <c r="A123" s="29" t="s">
        <v>17</v>
      </c>
      <c r="B123" s="30">
        <v>3417.7100000000005</v>
      </c>
    </row>
    <row r="133" spans="1:2" ht="15" customHeight="1" x14ac:dyDescent="0.35">
      <c r="A133" s="44" t="s">
        <v>32</v>
      </c>
      <c r="B133" s="44" t="s">
        <v>25</v>
      </c>
    </row>
    <row r="134" spans="1:2" s="40" customFormat="1" ht="15" customHeight="1" x14ac:dyDescent="0.35">
      <c r="A134" s="37" t="s">
        <v>28</v>
      </c>
      <c r="B134" s="38">
        <v>31591.67</v>
      </c>
    </row>
    <row r="135" spans="1:2" ht="15" customHeight="1" x14ac:dyDescent="0.35">
      <c r="A135" s="37" t="s">
        <v>29</v>
      </c>
      <c r="B135" s="38">
        <v>29790.690000000006</v>
      </c>
    </row>
    <row r="136" spans="1:2" ht="15" customHeight="1" x14ac:dyDescent="0.35">
      <c r="A136" s="37" t="s">
        <v>30</v>
      </c>
      <c r="B136" s="38">
        <v>36858.43</v>
      </c>
    </row>
    <row r="137" spans="1:2" ht="15" customHeight="1" x14ac:dyDescent="0.35">
      <c r="A137" s="37" t="s">
        <v>31</v>
      </c>
      <c r="B137" s="38">
        <v>10274.469999999999</v>
      </c>
    </row>
    <row r="138" spans="1:2" ht="15" customHeight="1" x14ac:dyDescent="0.35">
      <c r="A138" s="38"/>
      <c r="B138" s="37"/>
    </row>
    <row r="139" spans="1:2" ht="15" customHeight="1" x14ac:dyDescent="0.35">
      <c r="A139" s="1"/>
      <c r="B139"/>
    </row>
    <row r="150" spans="1:2" ht="15" customHeight="1" x14ac:dyDescent="0.35">
      <c r="A150" s="45" t="s">
        <v>3</v>
      </c>
      <c r="B150" s="45" t="s">
        <v>25</v>
      </c>
    </row>
    <row r="151" spans="1:2" ht="15" customHeight="1" x14ac:dyDescent="0.35">
      <c r="A151" s="29" t="s">
        <v>11</v>
      </c>
      <c r="B151" s="30">
        <v>27333.45</v>
      </c>
    </row>
    <row r="152" spans="1:2" ht="15" customHeight="1" x14ac:dyDescent="0.35">
      <c r="A152" s="29" t="s">
        <v>15</v>
      </c>
      <c r="B152" s="30">
        <v>26934.86</v>
      </c>
    </row>
    <row r="153" spans="1:2" ht="15" customHeight="1" x14ac:dyDescent="0.35">
      <c r="A153" s="29" t="s">
        <v>19</v>
      </c>
      <c r="B153" s="30">
        <v>23786.95</v>
      </c>
    </row>
    <row r="154" spans="1:2" ht="15" customHeight="1" x14ac:dyDescent="0.35">
      <c r="A154" s="29" t="s">
        <v>18</v>
      </c>
      <c r="B154" s="30">
        <v>16702.77</v>
      </c>
    </row>
    <row r="155" spans="1:2" ht="15" customHeight="1" x14ac:dyDescent="0.35">
      <c r="A155" s="29" t="s">
        <v>21</v>
      </c>
      <c r="B155" s="30">
        <v>13757.23</v>
      </c>
    </row>
    <row r="167" spans="1:2" ht="15" customHeight="1" x14ac:dyDescent="0.35">
      <c r="A167" s="46" t="s">
        <v>33</v>
      </c>
      <c r="B167" s="46" t="s">
        <v>35</v>
      </c>
    </row>
    <row r="168" spans="1:2" ht="15" customHeight="1" x14ac:dyDescent="0.35">
      <c r="A168" s="30">
        <v>108515.26000000002</v>
      </c>
      <c r="B168" s="30">
        <v>17762.93</v>
      </c>
    </row>
  </sheetData>
  <mergeCells count="1">
    <mergeCell ref="A1:J1"/>
  </mergeCells>
  <conditionalFormatting sqref="F3:F100">
    <cfRule type="cellIs" dxfId="6" priority="0" operator="greaterThan">
      <formula>1000</formula>
    </cfRule>
  </conditionalFormatting>
  <conditionalFormatting sqref="H3:H100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{AD17B65E-C7DF-4E79-9B72-84C0BA186082}</x14:id>
        </ext>
      </extLst>
    </cfRule>
  </conditionalFormatting>
  <conditionalFormatting sqref="I3:I100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{84E8E51D-18E9-43DF-92F7-A9FBC8C3B68C}</x14:id>
        </ext>
      </extLst>
    </cfRule>
  </conditionalFormatting>
  <conditionalFormatting sqref="A105:B109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{7FB6ADEC-29B1-41DE-BEBC-4675D9D3AE52}</x14:id>
        </ext>
      </extLst>
    </cfRule>
  </conditionalFormatting>
  <conditionalFormatting sqref="A120:B12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{215349A3-4B6B-4E04-B2ED-3AA9996E5A8E}</x14:id>
        </ext>
      </extLst>
    </cfRule>
  </conditionalFormatting>
  <conditionalFormatting sqref="A133:B138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{CFC3A82B-13B4-4FB3-B823-71120DC1EB8D}</x14:id>
        </ext>
      </extLst>
    </cfRule>
  </conditionalFormatting>
  <conditionalFormatting sqref="A151:B155">
    <cfRule type="dataBar" priority="2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{9BBF3659-1BC3-4CCE-BC7E-9D1B4280B6F9}</x14:id>
        </ext>
      </extLst>
    </cfRule>
  </conditionalFormatting>
  <conditionalFormatting sqref="A167:B16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{7CAD8153-4CFB-49F3-9DB0-7D8BF48B0B81}</x14:id>
        </ext>
      </extLst>
    </cfRule>
  </conditionalFormatting>
  <printOptions verticalCentered="1"/>
  <pageMargins left="0.70000000000000007" right="0.70000000000000007" top="0.75" bottom="0.75" header="0.30000000000000004" footer="0.30000000000000004"/>
  <pageSetup orientation="portrait" r:id="rId2"/>
  <drawing r:id="rId3"/>
  <tableParts count="5">
    <tablePart r:id="rId4"/>
    <tablePart r:id="rId5"/>
    <tablePart r:id="rId6"/>
    <tablePart r:id="rId7"/>
    <tablePart r:id="rId8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D17B65E-C7DF-4E79-9B72-84C0BA18608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H3:H100</xm:sqref>
        </x14:conditionalFormatting>
        <x14:conditionalFormatting xmlns:xm="http://schemas.microsoft.com/office/excel/2006/main">
          <x14:cfRule type="dataBar" id="{84E8E51D-18E9-43DF-92F7-A9FBC8C3B68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I3:I100</xm:sqref>
        </x14:conditionalFormatting>
        <x14:conditionalFormatting xmlns:xm="http://schemas.microsoft.com/office/excel/2006/main">
          <x14:cfRule type="dataBar" id="{7FB6ADEC-29B1-41DE-BEBC-4675D9D3AE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A105:B109</xm:sqref>
        </x14:conditionalFormatting>
        <x14:conditionalFormatting xmlns:xm="http://schemas.microsoft.com/office/excel/2006/main">
          <x14:cfRule type="dataBar" id="{215349A3-4B6B-4E04-B2ED-3AA9996E5A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A120:B123</xm:sqref>
        </x14:conditionalFormatting>
        <x14:conditionalFormatting xmlns:xm="http://schemas.microsoft.com/office/excel/2006/main">
          <x14:cfRule type="dataBar" id="{CFC3A82B-13B4-4FB3-B823-71120DC1EB8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A133:B138</xm:sqref>
        </x14:conditionalFormatting>
        <x14:conditionalFormatting xmlns:xm="http://schemas.microsoft.com/office/excel/2006/main">
          <x14:cfRule type="dataBar" id="{9BBF3659-1BC3-4CCE-BC7E-9D1B4280B6F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A151:B155</xm:sqref>
        </x14:conditionalFormatting>
        <x14:conditionalFormatting xmlns:xm="http://schemas.microsoft.com/office/excel/2006/main">
          <x14:cfRule type="dataBar" id="{7CAD8153-4CFB-49F3-9DB0-7D8BF48B0B8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A167:B168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Sheet3</vt:lpstr>
      <vt:lpstr>Sheet4</vt:lpstr>
      <vt:lpstr>Sheet5</vt:lpstr>
      <vt:lpstr>Sheet6</vt:lpstr>
      <vt:lpstr>Sheet7</vt:lpstr>
      <vt:lpstr>Sheet8</vt:lpstr>
      <vt:lpstr>Sheet9</vt:lpstr>
      <vt:lpstr>Sheet2</vt:lpstr>
      <vt:lpstr>Sheet10</vt:lpstr>
      <vt:lpstr>Sheet11</vt:lpstr>
      <vt:lpstr>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Deepanshu Sagar</dc:creator>
  <cp:lastModifiedBy>DELL</cp:lastModifiedBy>
  <dcterms:created xsi:type="dcterms:W3CDTF">2025-04-06T05:06:52Z</dcterms:created>
  <dcterms:modified xsi:type="dcterms:W3CDTF">2025-04-07T08:39:32Z</dcterms:modified>
</cp:coreProperties>
</file>